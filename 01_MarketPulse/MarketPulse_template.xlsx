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ositions" sheetId="2" state="visible" r:id="rId4"/>
    <sheet name="Cours_Bruts" sheetId="3" state="visible" r:id="rId5"/>
    <sheet name="Calculs_Rendements" sheetId="4" state="visible" r:id="rId6"/>
    <sheet name="Indicateurs_Risque" sheetId="5" state="visible" r:id="rId7"/>
    <sheet name="Synthese_Portefeuille" sheetId="6" state="visible" r:id="rId8"/>
    <sheet name="Recommanda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<sst xmlns="http://schemas.openxmlformats.org/spreadsheetml/2006/main" count="1041" uniqueCount="104">
  <si>
    <t xml:space="preserve">MarketPulse — Suivi et Analyse de Portefeuille Boursier</t>
  </si>
  <si>
    <t xml:space="preserve">Template de démonstration — Data Analyst spécialisé en Finance, BI et Aide à la décision</t>
  </si>
  <si>
    <t xml:space="preserve">CONTENU DU CLASSEUR</t>
  </si>
  <si>
    <t xml:space="preserve">  Positions              Composition du portefeuille (à saisir/mettre à jour chaque mois)</t>
  </si>
  <si>
    <t xml:space="preserve">  Cours_Bruts             Historique des cours (données fictives, format long)</t>
  </si>
  <si>
    <t xml:space="preserve">  Calculs_Rendements      Rendements journaliers, cumulés, moyennes mobiles, drawdown</t>
  </si>
  <si>
    <t xml:space="preserve">  Indicateurs_Risque      Volatilité, Sharpe, bêta, drawdown max, matrice de corrélation</t>
  </si>
  <si>
    <t xml:space="preserve">  Synthese_Portefeuille   Vue consolidée par action + comparaison vs indice CAC 40</t>
  </si>
  <si>
    <t xml:space="preserve">  Recommandations         Synthèse et pistes d'action (dont phrases générées automatiquement)</t>
  </si>
  <si>
    <t xml:space="preserve">DONNEES</t>
  </si>
  <si>
    <t xml:space="preserve">  Les cours de ce template sont SIMULES (marche aléatoire) afin de démontrer la structure</t>
  </si>
  <si>
    <t xml:space="preserve">  et les formules. Sur une vraie mission, l'onglet Cours_Bruts est alimenté via Power Query</t>
  </si>
  <si>
    <t xml:space="preserve">  ou un script Python (yfinance / Alpha Vantage) à partir de données réelles.</t>
  </si>
  <si>
    <t xml:space="preserve">  Période simulée : 80 jours de bourse par actif (2025-03-03 à 2025-06-20).</t>
  </si>
  <si>
    <t xml:space="preserve">CONVENTIONS DE COULEUR</t>
  </si>
  <si>
    <t xml:space="preserve">  Texte bleu + fond jaune  = cellule à saisir / modifier (onglet Positions uniquement)</t>
  </si>
  <si>
    <t xml:space="preserve">  Texte noir               = formule calculée automatiquement, ne pas modifier</t>
  </si>
  <si>
    <t xml:space="preserve">  Texte vert                = lien vers un autre onglet</t>
  </si>
  <si>
    <t xml:space="preserve">A NE PAS MODIFIER</t>
  </si>
  <si>
    <t xml:space="preserve">  Les onglets Cours_Bruts et Calculs_Rendements sont recalculés automatiquement.</t>
  </si>
  <si>
    <t xml:space="preserve">  Seul l'onglet Positions doit être mis à jour manuellement chaque mois.</t>
  </si>
  <si>
    <t xml:space="preserve">Ticker</t>
  </si>
  <si>
    <t xml:space="preserve">Nom</t>
  </si>
  <si>
    <t xml:space="preserve">Secteur</t>
  </si>
  <si>
    <t xml:space="preserve">Zone</t>
  </si>
  <si>
    <t xml:space="preserve">Quantite</t>
  </si>
  <si>
    <t xml:space="preserve">Prix_Achat_Moyen</t>
  </si>
  <si>
    <t xml:space="preserve">Montant_Investi</t>
  </si>
  <si>
    <t xml:space="preserve">Poids_Portefeuille</t>
  </si>
  <si>
    <t xml:space="preserve">AAPL</t>
  </si>
  <si>
    <t xml:space="preserve">Apple Inc.</t>
  </si>
  <si>
    <t xml:space="preserve">Technologie</t>
  </si>
  <si>
    <t xml:space="preserve">US</t>
  </si>
  <si>
    <t xml:space="preserve">MSFT</t>
  </si>
  <si>
    <t xml:space="preserve">Microsoft Corp.</t>
  </si>
  <si>
    <t xml:space="preserve">TTE</t>
  </si>
  <si>
    <t xml:space="preserve">TotalEnergies</t>
  </si>
  <si>
    <t xml:space="preserve">Energie</t>
  </si>
  <si>
    <t xml:space="preserve">Europe</t>
  </si>
  <si>
    <t xml:space="preserve">XOM</t>
  </si>
  <si>
    <t xml:space="preserve">Exxon Mobil</t>
  </si>
  <si>
    <t xml:space="preserve">SAN</t>
  </si>
  <si>
    <t xml:space="preserve">Sanofi</t>
  </si>
  <si>
    <t xml:space="preserve">Sante</t>
  </si>
  <si>
    <t xml:space="preserve">JNJ</t>
  </si>
  <si>
    <t xml:space="preserve">Johnson &amp; Johnson</t>
  </si>
  <si>
    <t xml:space="preserve">BNP</t>
  </si>
  <si>
    <t xml:space="preserve">BNP Paribas</t>
  </si>
  <si>
    <t xml:space="preserve">Finance</t>
  </si>
  <si>
    <t xml:space="preserve">JPM</t>
  </si>
  <si>
    <t xml:space="preserve">JPMorgan Chase</t>
  </si>
  <si>
    <t xml:space="preserve">MC</t>
  </si>
  <si>
    <t xml:space="preserve">LVMH</t>
  </si>
  <si>
    <t xml:space="preserve">Consommation</t>
  </si>
  <si>
    <t xml:space="preserve">KO</t>
  </si>
  <si>
    <t xml:space="preserve">Coca-Cola</t>
  </si>
  <si>
    <t xml:space="preserve">TOTAL</t>
  </si>
  <si>
    <t xml:space="preserve">Legende : cellules bleues sur fond jaune = a saisir/mettre a jour chaque mois. Colonnes G et H = calculees automatiquement.</t>
  </si>
  <si>
    <t xml:space="preserve">Date</t>
  </si>
  <si>
    <t xml:space="preserve">Cours_Cloture</t>
  </si>
  <si>
    <t xml:space="preserve">Volume</t>
  </si>
  <si>
    <t xml:space="preserve">CAC40</t>
  </si>
  <si>
    <t xml:space="preserve">Rendement_Journalier</t>
  </si>
  <si>
    <t xml:space="preserve">Rendement_Cumule</t>
  </si>
  <si>
    <t xml:space="preserve">Running_Max</t>
  </si>
  <si>
    <t xml:space="preserve">Drawdown_pct</t>
  </si>
  <si>
    <t xml:space="preserve">MM20</t>
  </si>
  <si>
    <t xml:space="preserve">MM50</t>
  </si>
  <si>
    <t xml:space="preserve">Hypotheses de calcul</t>
  </si>
  <si>
    <t xml:space="preserve">Taux_Sans_Risque</t>
  </si>
  <si>
    <t xml:space="preserve">Jours_Bourse_An</t>
  </si>
  <si>
    <t xml:space="preserve">Rendement_Moyen_Annualise</t>
  </si>
  <si>
    <t xml:space="preserve">Volatilite_Annualisee</t>
  </si>
  <si>
    <t xml:space="preserve">Ratio_Sharpe</t>
  </si>
  <si>
    <t xml:space="preserve">Drawdown_Max</t>
  </si>
  <si>
    <t xml:space="preserve">Beta_vs_CAC40</t>
  </si>
  <si>
    <t xml:space="preserve">CAC40 (indice)</t>
  </si>
  <si>
    <t xml:space="preserve">Note : le beta du CAC40 vis-a-vis de lui-meme vaut 1 par definition.</t>
  </si>
  <si>
    <t xml:space="preserve">Matrice de correlation des rendements</t>
  </si>
  <si>
    <t xml:space="preserve">Poids_%</t>
  </si>
  <si>
    <t xml:space="preserve">Rendement_Annualise</t>
  </si>
  <si>
    <t xml:space="preserve">Volatilite</t>
  </si>
  <si>
    <t xml:space="preserve">Sharpe</t>
  </si>
  <si>
    <t xml:space="preserve">Beta</t>
  </si>
  <si>
    <t xml:space="preserve">Contribution_Performance</t>
  </si>
  <si>
    <t xml:space="preserve">PORTEFEUILLE (pondere)</t>
  </si>
  <si>
    <t xml:space="preserve">Note : la volatilite du portefeuille est ici une moyenne ponderee (approximation). Un calcul rigoureux integrerait la matrice de covariance (cf. onglet Indicateurs_Risque).</t>
  </si>
  <si>
    <t xml:space="preserve">Portefeuille vs indice de reference</t>
  </si>
  <si>
    <t xml:space="preserve">Indicateur</t>
  </si>
  <si>
    <t xml:space="preserve">Portefeuille</t>
  </si>
  <si>
    <t xml:space="preserve">CAC 40</t>
  </si>
  <si>
    <t xml:space="preserve">Rendement annualise</t>
  </si>
  <si>
    <t xml:space="preserve">Volatilite annualisee</t>
  </si>
  <si>
    <t xml:space="preserve">Ratio de Sharpe</t>
  </si>
  <si>
    <t xml:space="preserve">Repartition du portefeuille par secteur</t>
  </si>
  <si>
    <t xml:space="preserve">Note de synthese et recommandations</t>
  </si>
  <si>
    <t xml:space="preserve">Genere a partir des indicateurs calcules dans ce classeur — a personnaliser selon le contexte du client</t>
  </si>
  <si>
    <t xml:space="preserve">1. Diversification sectorielle</t>
  </si>
  <si>
    <t xml:space="preserve">2. Rapport risque / rendement</t>
  </si>
  <si>
    <t xml:space="preserve">3. Performance vs indice de reference</t>
  </si>
  <si>
    <t xml:space="preserve">4. Diversification effective (correlations)</t>
  </si>
  <si>
    <t xml:space="preserve">Se referer a la matrice de correlation (onglet Indicateurs_Risque) : deux positions fortement correlees (coefficient &gt; 0.7) n'apportent qu'une diversification limitee, meme si elles appartiennent a des tickers differents. A verifier notamment entre les valeurs du meme secteur.</t>
  </si>
  <si>
    <t xml:space="preserve">Limites de l'analyse</t>
  </si>
  <si>
    <t xml:space="preserve">- Cette analyse s'appuie sur des donnees historiques ; elle ne predit pas les performances futures.
- Elle ne constitue pas un conseil en investissement reglemente.
- Le calcul de volatilite du portefeuille est une approximation ponderee (hors matrice de covariance complete).
- Les recommandations sont des pistes de reflexion ; la decision finale appartient au client.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</si>
</sst>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.0%"/>
    <numFmt numFmtId="167" formatCode="dd/mm/yyyy"/>
    <numFmt numFmtId="168" formatCode="#,##0"/>
    <numFmt numFmtId="169" formatCode="0.00%"/>
    <numFmt numFmtId="170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i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4" t="s">
        <v>18</v>
      </c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5" t="s">
        <v>28</v>
      </c>
    </row>
    <row r="2" customFormat="false" ht="15" hidden="false" customHeight="false" outlineLevel="0" collapsed="false">
      <c r="A2" s="6" t="s">
        <v>29</v>
      </c>
      <c r="B2" s="6" t="s">
        <v>30</v>
      </c>
      <c r="C2" s="6" t="s">
        <v>31</v>
      </c>
      <c r="D2" s="6" t="s">
        <v>32</v>
      </c>
      <c r="E2" s="6" t="n">
        <v>38</v>
      </c>
      <c r="F2" s="6" t="n">
        <v>180</v>
      </c>
      <c r="G2" s="7" t="n">
        <f aca="false">E2*F2</f>
        <v>6840</v>
      </c>
      <c r="H2" s="8" t="n">
        <f aca="false">G2/SUM($G$2:$G$11)</f>
        <v>0.151427938897498</v>
      </c>
    </row>
    <row r="3" customFormat="false" ht="15" hidden="false" customHeight="false" outlineLevel="0" collapsed="false">
      <c r="A3" s="6" t="s">
        <v>33</v>
      </c>
      <c r="B3" s="6" t="s">
        <v>34</v>
      </c>
      <c r="C3" s="6" t="s">
        <v>31</v>
      </c>
      <c r="D3" s="6" t="s">
        <v>32</v>
      </c>
      <c r="E3" s="6" t="n">
        <v>18</v>
      </c>
      <c r="F3" s="6" t="n">
        <v>370</v>
      </c>
      <c r="G3" s="7" t="n">
        <f aca="false">E3*F3</f>
        <v>6660</v>
      </c>
      <c r="H3" s="8" t="n">
        <f aca="false">G3/SUM($G$2:$G$11)</f>
        <v>0.147442993137038</v>
      </c>
    </row>
    <row r="4" customFormat="false" ht="15" hidden="false" customHeight="fals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n">
        <v>60</v>
      </c>
      <c r="F4" s="6" t="n">
        <v>60</v>
      </c>
      <c r="G4" s="7" t="n">
        <f aca="false">E4*F4</f>
        <v>3600</v>
      </c>
      <c r="H4" s="8" t="n">
        <f aca="false">G4/SUM($G$2:$G$11)</f>
        <v>0.0796989152092097</v>
      </c>
    </row>
    <row r="5" customFormat="false" ht="15" hidden="false" customHeight="false" outlineLevel="0" collapsed="false">
      <c r="A5" s="6" t="s">
        <v>39</v>
      </c>
      <c r="B5" s="6" t="s">
        <v>40</v>
      </c>
      <c r="C5" s="6" t="s">
        <v>37</v>
      </c>
      <c r="D5" s="6" t="s">
        <v>32</v>
      </c>
      <c r="E5" s="6" t="n">
        <v>30</v>
      </c>
      <c r="F5" s="6" t="n">
        <v>105</v>
      </c>
      <c r="G5" s="7" t="n">
        <f aca="false">E5*F5</f>
        <v>3150</v>
      </c>
      <c r="H5" s="8" t="n">
        <f aca="false">G5/SUM($G$2:$G$11)</f>
        <v>0.0697365508080585</v>
      </c>
    </row>
    <row r="6" customFormat="false" ht="15" hidden="false" customHeight="false" outlineLevel="0" collapsed="false">
      <c r="A6" s="6" t="s">
        <v>41</v>
      </c>
      <c r="B6" s="6" t="s">
        <v>42</v>
      </c>
      <c r="C6" s="6" t="s">
        <v>43</v>
      </c>
      <c r="D6" s="6" t="s">
        <v>38</v>
      </c>
      <c r="E6" s="6" t="n">
        <v>40</v>
      </c>
      <c r="F6" s="6" t="n">
        <v>90</v>
      </c>
      <c r="G6" s="7" t="n">
        <f aca="false">E6*F6</f>
        <v>3600</v>
      </c>
      <c r="H6" s="8" t="n">
        <f aca="false">G6/SUM($G$2:$G$11)</f>
        <v>0.0796989152092097</v>
      </c>
    </row>
    <row r="7" customFormat="false" ht="15" hidden="false" customHeight="false" outlineLevel="0" collapsed="false">
      <c r="A7" s="6" t="s">
        <v>44</v>
      </c>
      <c r="B7" s="6" t="s">
        <v>45</v>
      </c>
      <c r="C7" s="6" t="s">
        <v>43</v>
      </c>
      <c r="D7" s="6" t="s">
        <v>32</v>
      </c>
      <c r="E7" s="6" t="n">
        <v>20</v>
      </c>
      <c r="F7" s="6" t="n">
        <v>155</v>
      </c>
      <c r="G7" s="7" t="n">
        <f aca="false">E7*F7</f>
        <v>3100</v>
      </c>
      <c r="H7" s="8" t="n">
        <f aca="false">G7/SUM($G$2:$G$11)</f>
        <v>0.0686296214301528</v>
      </c>
    </row>
    <row r="8" customFormat="false" ht="15" hidden="false" customHeight="false" outlineLevel="0" collapsed="false">
      <c r="A8" s="6" t="s">
        <v>46</v>
      </c>
      <c r="B8" s="6" t="s">
        <v>47</v>
      </c>
      <c r="C8" s="6" t="s">
        <v>48</v>
      </c>
      <c r="D8" s="6" t="s">
        <v>38</v>
      </c>
      <c r="E8" s="6" t="n">
        <v>60</v>
      </c>
      <c r="F8" s="6" t="n">
        <v>60</v>
      </c>
      <c r="G8" s="7" t="n">
        <f aca="false">E8*F8</f>
        <v>3600</v>
      </c>
      <c r="H8" s="8" t="n">
        <f aca="false">G8/SUM($G$2:$G$11)</f>
        <v>0.0796989152092097</v>
      </c>
    </row>
    <row r="9" customFormat="false" ht="15" hidden="false" customHeight="false" outlineLevel="0" collapsed="false">
      <c r="A9" s="6" t="s">
        <v>49</v>
      </c>
      <c r="B9" s="6" t="s">
        <v>50</v>
      </c>
      <c r="C9" s="6" t="s">
        <v>48</v>
      </c>
      <c r="D9" s="6" t="s">
        <v>32</v>
      </c>
      <c r="E9" s="6" t="n">
        <v>16</v>
      </c>
      <c r="F9" s="6" t="n">
        <v>195</v>
      </c>
      <c r="G9" s="7" t="n">
        <f aca="false">E9*F9</f>
        <v>3120</v>
      </c>
      <c r="H9" s="8" t="n">
        <f aca="false">G9/SUM($G$2:$G$11)</f>
        <v>0.069072393181315</v>
      </c>
    </row>
    <row r="10" customFormat="false" ht="15" hidden="false" customHeight="false" outlineLevel="0" collapsed="false">
      <c r="A10" s="6" t="s">
        <v>51</v>
      </c>
      <c r="B10" s="6" t="s">
        <v>52</v>
      </c>
      <c r="C10" s="6" t="s">
        <v>53</v>
      </c>
      <c r="D10" s="6" t="s">
        <v>38</v>
      </c>
      <c r="E10" s="6" t="n">
        <v>10</v>
      </c>
      <c r="F10" s="6" t="n">
        <v>700</v>
      </c>
      <c r="G10" s="7" t="n">
        <f aca="false">E10*F10</f>
        <v>7000</v>
      </c>
      <c r="H10" s="8" t="n">
        <f aca="false">G10/SUM($G$2:$G$11)</f>
        <v>0.154970112906797</v>
      </c>
    </row>
    <row r="11" customFormat="false" ht="15" hidden="false" customHeight="false" outlineLevel="0" collapsed="false">
      <c r="A11" s="6" t="s">
        <v>54</v>
      </c>
      <c r="B11" s="6" t="s">
        <v>55</v>
      </c>
      <c r="C11" s="6" t="s">
        <v>53</v>
      </c>
      <c r="D11" s="6" t="s">
        <v>32</v>
      </c>
      <c r="E11" s="6" t="n">
        <v>75</v>
      </c>
      <c r="F11" s="6" t="n">
        <v>60</v>
      </c>
      <c r="G11" s="7" t="n">
        <f aca="false">E11*F11</f>
        <v>4500</v>
      </c>
      <c r="H11" s="8" t="n">
        <f aca="false">G11/SUM($G$2:$G$11)</f>
        <v>0.0996236440115121</v>
      </c>
    </row>
    <row r="12" customFormat="false" ht="15" hidden="false" customHeight="false" outlineLevel="0" collapsed="false">
      <c r="B12" s="4" t="s">
        <v>56</v>
      </c>
      <c r="G12" s="9" t="n">
        <f aca="false">SUM(G2:G11)</f>
        <v>45170</v>
      </c>
      <c r="H12" s="10" t="n">
        <f aca="false">SUM(H2:H11)</f>
        <v>1</v>
      </c>
    </row>
    <row r="14" customFormat="false" ht="15" hidden="false" customHeight="false" outlineLevel="0" collapsed="false">
      <c r="A14" s="11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2" t="s">
        <v>58</v>
      </c>
      <c r="B1" s="12" t="s">
        <v>21</v>
      </c>
      <c r="C1" s="12" t="s">
        <v>59</v>
      </c>
      <c r="D1" s="12" t="s">
        <v>60</v>
      </c>
    </row>
    <row r="2" customFormat="false" ht="15" hidden="false" customHeight="false" outlineLevel="0" collapsed="false">
      <c r="A2" s="13" t="n">
        <v>45719</v>
      </c>
      <c r="B2" s="14" t="s">
        <v>29</v>
      </c>
      <c r="C2" s="15" t="n">
        <v>180</v>
      </c>
      <c r="D2" s="16" t="n">
        <v>6654237</v>
      </c>
    </row>
    <row r="3" customFormat="false" ht="15" hidden="false" customHeight="false" outlineLevel="0" collapsed="false">
      <c r="A3" s="13" t="n">
        <v>45720</v>
      </c>
      <c r="B3" s="14" t="s">
        <v>29</v>
      </c>
      <c r="C3" s="15" t="n">
        <v>179.66</v>
      </c>
      <c r="D3" s="16" t="n">
        <v>46816038</v>
      </c>
    </row>
    <row r="4" customFormat="false" ht="15" hidden="false" customHeight="false" outlineLevel="0" collapsed="false">
      <c r="A4" s="13" t="n">
        <v>45721</v>
      </c>
      <c r="B4" s="14" t="s">
        <v>29</v>
      </c>
      <c r="C4" s="15" t="n">
        <v>181.81</v>
      </c>
      <c r="D4" s="16" t="n">
        <v>18750764</v>
      </c>
    </row>
    <row r="5" customFormat="false" ht="15" hidden="false" customHeight="false" outlineLevel="0" collapsed="false">
      <c r="A5" s="13" t="n">
        <v>45722</v>
      </c>
      <c r="B5" s="14" t="s">
        <v>29</v>
      </c>
      <c r="C5" s="15" t="n">
        <v>186.8</v>
      </c>
      <c r="D5" s="16" t="n">
        <v>37898446</v>
      </c>
    </row>
    <row r="6" customFormat="false" ht="15" hidden="false" customHeight="false" outlineLevel="0" collapsed="false">
      <c r="A6" s="13" t="n">
        <v>45723</v>
      </c>
      <c r="B6" s="14" t="s">
        <v>29</v>
      </c>
      <c r="C6" s="15" t="n">
        <v>186.13</v>
      </c>
      <c r="D6" s="16" t="n">
        <v>24841962</v>
      </c>
    </row>
    <row r="7" customFormat="false" ht="15" hidden="false" customHeight="false" outlineLevel="0" collapsed="false">
      <c r="A7" s="13" t="n">
        <v>45726</v>
      </c>
      <c r="B7" s="14" t="s">
        <v>29</v>
      </c>
      <c r="C7" s="15" t="n">
        <v>185.47</v>
      </c>
      <c r="D7" s="16" t="n">
        <v>44156515</v>
      </c>
    </row>
    <row r="8" customFormat="false" ht="15" hidden="false" customHeight="false" outlineLevel="0" collapsed="false">
      <c r="A8" s="13" t="n">
        <v>45727</v>
      </c>
      <c r="B8" s="14" t="s">
        <v>29</v>
      </c>
      <c r="C8" s="15" t="n">
        <v>190.73</v>
      </c>
      <c r="D8" s="16" t="n">
        <v>23993420</v>
      </c>
    </row>
    <row r="9" customFormat="false" ht="15" hidden="false" customHeight="false" outlineLevel="0" collapsed="false">
      <c r="A9" s="13" t="n">
        <v>45728</v>
      </c>
      <c r="B9" s="14" t="s">
        <v>29</v>
      </c>
      <c r="C9" s="15" t="n">
        <v>193.42</v>
      </c>
      <c r="D9" s="16" t="n">
        <v>22970758</v>
      </c>
    </row>
    <row r="10" customFormat="false" ht="15" hidden="false" customHeight="false" outlineLevel="0" collapsed="false">
      <c r="A10" s="13" t="n">
        <v>45729</v>
      </c>
      <c r="B10" s="14" t="s">
        <v>29</v>
      </c>
      <c r="C10" s="15" t="n">
        <v>191.93</v>
      </c>
      <c r="D10" s="16" t="n">
        <v>37513466</v>
      </c>
    </row>
    <row r="11" customFormat="false" ht="15" hidden="false" customHeight="false" outlineLevel="0" collapsed="false">
      <c r="A11" s="13" t="n">
        <v>45730</v>
      </c>
      <c r="B11" s="14" t="s">
        <v>29</v>
      </c>
      <c r="C11" s="15" t="n">
        <v>193.87</v>
      </c>
      <c r="D11" s="16" t="n">
        <v>32288562</v>
      </c>
    </row>
    <row r="12" customFormat="false" ht="15" hidden="false" customHeight="false" outlineLevel="0" collapsed="false">
      <c r="A12" s="13" t="n">
        <v>45733</v>
      </c>
      <c r="B12" s="14" t="s">
        <v>29</v>
      </c>
      <c r="C12" s="15" t="n">
        <v>192.39</v>
      </c>
      <c r="D12" s="16" t="n">
        <v>22351509</v>
      </c>
    </row>
    <row r="13" customFormat="false" ht="15" hidden="false" customHeight="false" outlineLevel="0" collapsed="false">
      <c r="A13" s="13" t="n">
        <v>45734</v>
      </c>
      <c r="B13" s="14" t="s">
        <v>29</v>
      </c>
      <c r="C13" s="15" t="n">
        <v>190.92</v>
      </c>
      <c r="D13" s="16" t="n">
        <v>24484187</v>
      </c>
    </row>
    <row r="14" customFormat="false" ht="15" hidden="false" customHeight="false" outlineLevel="0" collapsed="false">
      <c r="A14" s="13" t="n">
        <v>45735</v>
      </c>
      <c r="B14" s="14" t="s">
        <v>29</v>
      </c>
      <c r="C14" s="15" t="n">
        <v>191.84</v>
      </c>
      <c r="D14" s="16" t="n">
        <v>34598017</v>
      </c>
    </row>
    <row r="15" customFormat="false" ht="15" hidden="false" customHeight="false" outlineLevel="0" collapsed="false">
      <c r="A15" s="13" t="n">
        <v>45736</v>
      </c>
      <c r="B15" s="14" t="s">
        <v>29</v>
      </c>
      <c r="C15" s="15" t="n">
        <v>185.47</v>
      </c>
      <c r="D15" s="16" t="n">
        <v>49298540</v>
      </c>
    </row>
    <row r="16" customFormat="false" ht="15" hidden="false" customHeight="false" outlineLevel="0" collapsed="false">
      <c r="A16" s="13" t="n">
        <v>45737</v>
      </c>
      <c r="B16" s="14" t="s">
        <v>29</v>
      </c>
      <c r="C16" s="15" t="n">
        <v>179.93</v>
      </c>
      <c r="D16" s="16" t="n">
        <v>37093880</v>
      </c>
    </row>
    <row r="17" customFormat="false" ht="15" hidden="false" customHeight="false" outlineLevel="0" collapsed="false">
      <c r="A17" s="13" t="n">
        <v>45740</v>
      </c>
      <c r="B17" s="14" t="s">
        <v>29</v>
      </c>
      <c r="C17" s="15" t="n">
        <v>178.25</v>
      </c>
      <c r="D17" s="16" t="n">
        <v>51441204</v>
      </c>
    </row>
    <row r="18" customFormat="false" ht="15" hidden="false" customHeight="false" outlineLevel="0" collapsed="false">
      <c r="A18" s="13" t="n">
        <v>45741</v>
      </c>
      <c r="B18" s="14" t="s">
        <v>29</v>
      </c>
      <c r="C18" s="15" t="n">
        <v>175.16</v>
      </c>
      <c r="D18" s="16" t="n">
        <v>52907205</v>
      </c>
    </row>
    <row r="19" customFormat="false" ht="15" hidden="false" customHeight="false" outlineLevel="0" collapsed="false">
      <c r="A19" s="13" t="n">
        <v>45742</v>
      </c>
      <c r="B19" s="14" t="s">
        <v>29</v>
      </c>
      <c r="C19" s="15" t="n">
        <v>176.23</v>
      </c>
      <c r="D19" s="16" t="n">
        <v>15643995</v>
      </c>
    </row>
    <row r="20" customFormat="false" ht="15" hidden="false" customHeight="false" outlineLevel="0" collapsed="false">
      <c r="A20" s="13" t="n">
        <v>45743</v>
      </c>
      <c r="B20" s="14" t="s">
        <v>29</v>
      </c>
      <c r="C20" s="15" t="n">
        <v>173.51</v>
      </c>
      <c r="D20" s="16" t="n">
        <v>30193243</v>
      </c>
    </row>
    <row r="21" customFormat="false" ht="15" hidden="false" customHeight="false" outlineLevel="0" collapsed="false">
      <c r="A21" s="13" t="n">
        <v>45744</v>
      </c>
      <c r="B21" s="14" t="s">
        <v>29</v>
      </c>
      <c r="C21" s="15" t="n">
        <v>169.28</v>
      </c>
      <c r="D21" s="16" t="n">
        <v>45066131</v>
      </c>
    </row>
    <row r="22" customFormat="false" ht="15" hidden="false" customHeight="false" outlineLevel="0" collapsed="false">
      <c r="A22" s="13" t="n">
        <v>45747</v>
      </c>
      <c r="B22" s="14" t="s">
        <v>29</v>
      </c>
      <c r="C22" s="15" t="n">
        <v>173.75</v>
      </c>
      <c r="D22" s="16" t="n">
        <v>9306461</v>
      </c>
    </row>
    <row r="23" customFormat="false" ht="15" hidden="false" customHeight="false" outlineLevel="0" collapsed="false">
      <c r="A23" s="13" t="n">
        <v>45748</v>
      </c>
      <c r="B23" s="14" t="s">
        <v>29</v>
      </c>
      <c r="C23" s="15" t="n">
        <v>173.16</v>
      </c>
      <c r="D23" s="16" t="n">
        <v>36563453</v>
      </c>
    </row>
    <row r="24" customFormat="false" ht="15" hidden="false" customHeight="false" outlineLevel="0" collapsed="false">
      <c r="A24" s="13" t="n">
        <v>45749</v>
      </c>
      <c r="B24" s="14" t="s">
        <v>29</v>
      </c>
      <c r="C24" s="15" t="n">
        <v>173.46</v>
      </c>
      <c r="D24" s="16" t="n">
        <v>35755914</v>
      </c>
    </row>
    <row r="25" customFormat="false" ht="15" hidden="false" customHeight="false" outlineLevel="0" collapsed="false">
      <c r="A25" s="13" t="n">
        <v>45750</v>
      </c>
      <c r="B25" s="14" t="s">
        <v>29</v>
      </c>
      <c r="C25" s="15" t="n">
        <v>169.2</v>
      </c>
      <c r="D25" s="16" t="n">
        <v>51873983</v>
      </c>
    </row>
    <row r="26" customFormat="false" ht="15" hidden="false" customHeight="false" outlineLevel="0" collapsed="false">
      <c r="A26" s="13" t="n">
        <v>45751</v>
      </c>
      <c r="B26" s="14" t="s">
        <v>29</v>
      </c>
      <c r="C26" s="15" t="n">
        <v>167.67</v>
      </c>
      <c r="D26" s="16" t="n">
        <v>46377017</v>
      </c>
    </row>
    <row r="27" customFormat="false" ht="15" hidden="false" customHeight="false" outlineLevel="0" collapsed="false">
      <c r="A27" s="13" t="n">
        <v>45754</v>
      </c>
      <c r="B27" s="14" t="s">
        <v>29</v>
      </c>
      <c r="C27" s="15" t="n">
        <v>168.09</v>
      </c>
      <c r="D27" s="16" t="n">
        <v>55601718</v>
      </c>
    </row>
    <row r="28" customFormat="false" ht="15" hidden="false" customHeight="false" outlineLevel="0" collapsed="false">
      <c r="A28" s="13" t="n">
        <v>45755</v>
      </c>
      <c r="B28" s="14" t="s">
        <v>29</v>
      </c>
      <c r="C28" s="15" t="n">
        <v>164.77</v>
      </c>
      <c r="D28" s="16" t="n">
        <v>24477595</v>
      </c>
    </row>
    <row r="29" customFormat="false" ht="15" hidden="false" customHeight="false" outlineLevel="0" collapsed="false">
      <c r="A29" s="13" t="n">
        <v>45756</v>
      </c>
      <c r="B29" s="14" t="s">
        <v>29</v>
      </c>
      <c r="C29" s="15" t="n">
        <v>165.95</v>
      </c>
      <c r="D29" s="16" t="n">
        <v>54892568</v>
      </c>
    </row>
    <row r="30" customFormat="false" ht="15" hidden="false" customHeight="false" outlineLevel="0" collapsed="false">
      <c r="A30" s="13" t="n">
        <v>45757</v>
      </c>
      <c r="B30" s="14" t="s">
        <v>29</v>
      </c>
      <c r="C30" s="15" t="n">
        <v>164.29</v>
      </c>
      <c r="D30" s="16" t="n">
        <v>24637222</v>
      </c>
    </row>
    <row r="31" customFormat="false" ht="15" hidden="false" customHeight="false" outlineLevel="0" collapsed="false">
      <c r="A31" s="13" t="n">
        <v>45758</v>
      </c>
      <c r="B31" s="14" t="s">
        <v>29</v>
      </c>
      <c r="C31" s="15" t="n">
        <v>163.53</v>
      </c>
      <c r="D31" s="16" t="n">
        <v>3484413</v>
      </c>
    </row>
    <row r="32" customFormat="false" ht="15" hidden="false" customHeight="false" outlineLevel="0" collapsed="false">
      <c r="A32" s="13" t="n">
        <v>45761</v>
      </c>
      <c r="B32" s="14" t="s">
        <v>29</v>
      </c>
      <c r="C32" s="15" t="n">
        <v>161.89</v>
      </c>
      <c r="D32" s="16" t="n">
        <v>3907360</v>
      </c>
    </row>
    <row r="33" customFormat="false" ht="15" hidden="false" customHeight="false" outlineLevel="0" collapsed="false">
      <c r="A33" s="13" t="n">
        <v>45762</v>
      </c>
      <c r="B33" s="14" t="s">
        <v>29</v>
      </c>
      <c r="C33" s="15" t="n">
        <v>167.27</v>
      </c>
      <c r="D33" s="16" t="n">
        <v>28948416</v>
      </c>
    </row>
    <row r="34" customFormat="false" ht="15" hidden="false" customHeight="false" outlineLevel="0" collapsed="false">
      <c r="A34" s="13" t="n">
        <v>45763</v>
      </c>
      <c r="B34" s="14" t="s">
        <v>29</v>
      </c>
      <c r="C34" s="15" t="n">
        <v>167.32</v>
      </c>
      <c r="D34" s="16" t="n">
        <v>40449976</v>
      </c>
    </row>
    <row r="35" customFormat="false" ht="15" hidden="false" customHeight="false" outlineLevel="0" collapsed="false">
      <c r="A35" s="13" t="n">
        <v>45764</v>
      </c>
      <c r="B35" s="14" t="s">
        <v>29</v>
      </c>
      <c r="C35" s="15" t="n">
        <v>164.29</v>
      </c>
      <c r="D35" s="16" t="n">
        <v>31344474</v>
      </c>
    </row>
    <row r="36" customFormat="false" ht="15" hidden="false" customHeight="false" outlineLevel="0" collapsed="false">
      <c r="A36" s="13" t="n">
        <v>45765</v>
      </c>
      <c r="B36" s="14" t="s">
        <v>29</v>
      </c>
      <c r="C36" s="15" t="n">
        <v>166.77</v>
      </c>
      <c r="D36" s="16" t="n">
        <v>23474685</v>
      </c>
    </row>
    <row r="37" customFormat="false" ht="15" hidden="false" customHeight="false" outlineLevel="0" collapsed="false">
      <c r="A37" s="13" t="n">
        <v>45768</v>
      </c>
      <c r="B37" s="14" t="s">
        <v>29</v>
      </c>
      <c r="C37" s="15" t="n">
        <v>163.27</v>
      </c>
      <c r="D37" s="16" t="n">
        <v>3235000</v>
      </c>
    </row>
    <row r="38" customFormat="false" ht="15" hidden="false" customHeight="false" outlineLevel="0" collapsed="false">
      <c r="A38" s="13" t="n">
        <v>45769</v>
      </c>
      <c r="B38" s="14" t="s">
        <v>29</v>
      </c>
      <c r="C38" s="15" t="n">
        <v>163.96</v>
      </c>
      <c r="D38" s="16" t="n">
        <v>24685747</v>
      </c>
    </row>
    <row r="39" customFormat="false" ht="15" hidden="false" customHeight="false" outlineLevel="0" collapsed="false">
      <c r="A39" s="13" t="n">
        <v>45770</v>
      </c>
      <c r="B39" s="14" t="s">
        <v>29</v>
      </c>
      <c r="C39" s="15" t="n">
        <v>158.38</v>
      </c>
      <c r="D39" s="16" t="n">
        <v>38876684</v>
      </c>
    </row>
    <row r="40" customFormat="false" ht="15" hidden="false" customHeight="false" outlineLevel="0" collapsed="false">
      <c r="A40" s="13" t="n">
        <v>45771</v>
      </c>
      <c r="B40" s="14" t="s">
        <v>29</v>
      </c>
      <c r="C40" s="15" t="n">
        <v>154.76</v>
      </c>
      <c r="D40" s="16" t="n">
        <v>6822184</v>
      </c>
    </row>
    <row r="41" customFormat="false" ht="15" hidden="false" customHeight="false" outlineLevel="0" collapsed="false">
      <c r="A41" s="13" t="n">
        <v>45772</v>
      </c>
      <c r="B41" s="14" t="s">
        <v>29</v>
      </c>
      <c r="C41" s="15" t="n">
        <v>155.38</v>
      </c>
      <c r="D41" s="16" t="n">
        <v>34957122</v>
      </c>
    </row>
    <row r="42" customFormat="false" ht="15" hidden="false" customHeight="false" outlineLevel="0" collapsed="false">
      <c r="A42" s="13" t="n">
        <v>45775</v>
      </c>
      <c r="B42" s="14" t="s">
        <v>29</v>
      </c>
      <c r="C42" s="15" t="n">
        <v>157.49</v>
      </c>
      <c r="D42" s="16" t="n">
        <v>30859174</v>
      </c>
    </row>
    <row r="43" customFormat="false" ht="15" hidden="false" customHeight="false" outlineLevel="0" collapsed="false">
      <c r="A43" s="13" t="n">
        <v>45776</v>
      </c>
      <c r="B43" s="14" t="s">
        <v>29</v>
      </c>
      <c r="C43" s="15" t="n">
        <v>158.06</v>
      </c>
      <c r="D43" s="16" t="n">
        <v>37102853</v>
      </c>
    </row>
    <row r="44" customFormat="false" ht="15" hidden="false" customHeight="false" outlineLevel="0" collapsed="false">
      <c r="A44" s="13" t="n">
        <v>45777</v>
      </c>
      <c r="B44" s="14" t="s">
        <v>29</v>
      </c>
      <c r="C44" s="15" t="n">
        <v>157.82</v>
      </c>
      <c r="D44" s="16" t="n">
        <v>47159303</v>
      </c>
    </row>
    <row r="45" customFormat="false" ht="15" hidden="false" customHeight="false" outlineLevel="0" collapsed="false">
      <c r="A45" s="13" t="n">
        <v>45778</v>
      </c>
      <c r="B45" s="14" t="s">
        <v>29</v>
      </c>
      <c r="C45" s="15" t="n">
        <v>157.07</v>
      </c>
      <c r="D45" s="16" t="n">
        <v>13195226</v>
      </c>
    </row>
    <row r="46" customFormat="false" ht="15" hidden="false" customHeight="false" outlineLevel="0" collapsed="false">
      <c r="A46" s="13" t="n">
        <v>45779</v>
      </c>
      <c r="B46" s="14" t="s">
        <v>29</v>
      </c>
      <c r="C46" s="15" t="n">
        <v>153.06</v>
      </c>
      <c r="D46" s="16" t="n">
        <v>48936136</v>
      </c>
    </row>
    <row r="47" customFormat="false" ht="15" hidden="false" customHeight="false" outlineLevel="0" collapsed="false">
      <c r="A47" s="13" t="n">
        <v>45782</v>
      </c>
      <c r="B47" s="14" t="s">
        <v>29</v>
      </c>
      <c r="C47" s="15" t="n">
        <v>151.21</v>
      </c>
      <c r="D47" s="16" t="n">
        <v>2954109</v>
      </c>
    </row>
    <row r="48" customFormat="false" ht="15" hidden="false" customHeight="false" outlineLevel="0" collapsed="false">
      <c r="A48" s="13" t="n">
        <v>45783</v>
      </c>
      <c r="B48" s="14" t="s">
        <v>29</v>
      </c>
      <c r="C48" s="15" t="n">
        <v>150.06</v>
      </c>
      <c r="D48" s="16" t="n">
        <v>15421668</v>
      </c>
    </row>
    <row r="49" customFormat="false" ht="15" hidden="false" customHeight="false" outlineLevel="0" collapsed="false">
      <c r="A49" s="13" t="n">
        <v>45784</v>
      </c>
      <c r="B49" s="14" t="s">
        <v>29</v>
      </c>
      <c r="C49" s="15" t="n">
        <v>152.94</v>
      </c>
      <c r="D49" s="16" t="n">
        <v>22200096</v>
      </c>
    </row>
    <row r="50" customFormat="false" ht="15" hidden="false" customHeight="false" outlineLevel="0" collapsed="false">
      <c r="A50" s="13" t="n">
        <v>45785</v>
      </c>
      <c r="B50" s="14" t="s">
        <v>29</v>
      </c>
      <c r="C50" s="15" t="n">
        <v>153.95</v>
      </c>
      <c r="D50" s="16" t="n">
        <v>46055794</v>
      </c>
    </row>
    <row r="51" customFormat="false" ht="15" hidden="false" customHeight="false" outlineLevel="0" collapsed="false">
      <c r="A51" s="13" t="n">
        <v>45786</v>
      </c>
      <c r="B51" s="14" t="s">
        <v>29</v>
      </c>
      <c r="C51" s="15" t="n">
        <v>149.25</v>
      </c>
      <c r="D51" s="16" t="n">
        <v>17266473</v>
      </c>
    </row>
    <row r="52" customFormat="false" ht="15" hidden="false" customHeight="false" outlineLevel="0" collapsed="false">
      <c r="A52" s="13" t="n">
        <v>45789</v>
      </c>
      <c r="B52" s="14" t="s">
        <v>29</v>
      </c>
      <c r="C52" s="15" t="n">
        <v>150.19</v>
      </c>
      <c r="D52" s="16" t="n">
        <v>41759979</v>
      </c>
    </row>
    <row r="53" customFormat="false" ht="15" hidden="false" customHeight="false" outlineLevel="0" collapsed="false">
      <c r="A53" s="13" t="n">
        <v>45790</v>
      </c>
      <c r="B53" s="14" t="s">
        <v>29</v>
      </c>
      <c r="C53" s="15" t="n">
        <v>149.25</v>
      </c>
      <c r="D53" s="16" t="n">
        <v>42878167</v>
      </c>
    </row>
    <row r="54" customFormat="false" ht="15" hidden="false" customHeight="false" outlineLevel="0" collapsed="false">
      <c r="A54" s="13" t="n">
        <v>45791</v>
      </c>
      <c r="B54" s="14" t="s">
        <v>29</v>
      </c>
      <c r="C54" s="15" t="n">
        <v>147.55</v>
      </c>
      <c r="D54" s="16" t="n">
        <v>24234510</v>
      </c>
    </row>
    <row r="55" customFormat="false" ht="15" hidden="false" customHeight="false" outlineLevel="0" collapsed="false">
      <c r="A55" s="13" t="n">
        <v>45792</v>
      </c>
      <c r="B55" s="14" t="s">
        <v>29</v>
      </c>
      <c r="C55" s="15" t="n">
        <v>149.23</v>
      </c>
      <c r="D55" s="16" t="n">
        <v>52715898</v>
      </c>
    </row>
    <row r="56" customFormat="false" ht="15" hidden="false" customHeight="false" outlineLevel="0" collapsed="false">
      <c r="A56" s="13" t="n">
        <v>45793</v>
      </c>
      <c r="B56" s="14" t="s">
        <v>29</v>
      </c>
      <c r="C56" s="15" t="n">
        <v>152.02</v>
      </c>
      <c r="D56" s="16" t="n">
        <v>46968757</v>
      </c>
    </row>
    <row r="57" customFormat="false" ht="15" hidden="false" customHeight="false" outlineLevel="0" collapsed="false">
      <c r="A57" s="13" t="n">
        <v>45796</v>
      </c>
      <c r="B57" s="14" t="s">
        <v>29</v>
      </c>
      <c r="C57" s="15" t="n">
        <v>154.6</v>
      </c>
      <c r="D57" s="16" t="n">
        <v>1061087</v>
      </c>
    </row>
    <row r="58" customFormat="false" ht="15" hidden="false" customHeight="false" outlineLevel="0" collapsed="false">
      <c r="A58" s="13" t="n">
        <v>45797</v>
      </c>
      <c r="B58" s="14" t="s">
        <v>29</v>
      </c>
      <c r="C58" s="15" t="n">
        <v>152.4</v>
      </c>
      <c r="D58" s="16" t="n">
        <v>14596255</v>
      </c>
    </row>
    <row r="59" customFormat="false" ht="15" hidden="false" customHeight="false" outlineLevel="0" collapsed="false">
      <c r="A59" s="13" t="n">
        <v>45798</v>
      </c>
      <c r="B59" s="14" t="s">
        <v>29</v>
      </c>
      <c r="C59" s="15" t="n">
        <v>151.66</v>
      </c>
      <c r="D59" s="16" t="n">
        <v>49219607</v>
      </c>
    </row>
    <row r="60" customFormat="false" ht="15" hidden="false" customHeight="false" outlineLevel="0" collapsed="false">
      <c r="A60" s="13" t="n">
        <v>45799</v>
      </c>
      <c r="B60" s="14" t="s">
        <v>29</v>
      </c>
      <c r="C60" s="15" t="n">
        <v>152.63</v>
      </c>
      <c r="D60" s="16" t="n">
        <v>57741555</v>
      </c>
    </row>
    <row r="61" customFormat="false" ht="15" hidden="false" customHeight="false" outlineLevel="0" collapsed="false">
      <c r="A61" s="13" t="n">
        <v>45800</v>
      </c>
      <c r="B61" s="14" t="s">
        <v>29</v>
      </c>
      <c r="C61" s="15" t="n">
        <v>155.34</v>
      </c>
      <c r="D61" s="16" t="n">
        <v>19273392</v>
      </c>
    </row>
    <row r="62" customFormat="false" ht="15" hidden="false" customHeight="false" outlineLevel="0" collapsed="false">
      <c r="A62" s="13" t="n">
        <v>45803</v>
      </c>
      <c r="B62" s="14" t="s">
        <v>29</v>
      </c>
      <c r="C62" s="15" t="n">
        <v>154.11</v>
      </c>
      <c r="D62" s="16" t="n">
        <v>11274621</v>
      </c>
    </row>
    <row r="63" customFormat="false" ht="15" hidden="false" customHeight="false" outlineLevel="0" collapsed="false">
      <c r="A63" s="13" t="n">
        <v>45804</v>
      </c>
      <c r="B63" s="14" t="s">
        <v>29</v>
      </c>
      <c r="C63" s="15" t="n">
        <v>153.69</v>
      </c>
      <c r="D63" s="16" t="n">
        <v>14022704</v>
      </c>
    </row>
    <row r="64" customFormat="false" ht="15" hidden="false" customHeight="false" outlineLevel="0" collapsed="false">
      <c r="A64" s="13" t="n">
        <v>45805</v>
      </c>
      <c r="B64" s="14" t="s">
        <v>29</v>
      </c>
      <c r="C64" s="15" t="n">
        <v>150.78</v>
      </c>
      <c r="D64" s="16" t="n">
        <v>17816569</v>
      </c>
    </row>
    <row r="65" customFormat="false" ht="15" hidden="false" customHeight="false" outlineLevel="0" collapsed="false">
      <c r="A65" s="13" t="n">
        <v>45806</v>
      </c>
      <c r="B65" s="14" t="s">
        <v>29</v>
      </c>
      <c r="C65" s="15" t="n">
        <v>147.68</v>
      </c>
      <c r="D65" s="16" t="n">
        <v>41038963</v>
      </c>
    </row>
    <row r="66" customFormat="false" ht="15" hidden="false" customHeight="false" outlineLevel="0" collapsed="false">
      <c r="A66" s="13" t="n">
        <v>45807</v>
      </c>
      <c r="B66" s="14" t="s">
        <v>29</v>
      </c>
      <c r="C66" s="15" t="n">
        <v>149.88</v>
      </c>
      <c r="D66" s="16" t="n">
        <v>54691659</v>
      </c>
    </row>
    <row r="67" customFormat="false" ht="15" hidden="false" customHeight="false" outlineLevel="0" collapsed="false">
      <c r="A67" s="13" t="n">
        <v>45810</v>
      </c>
      <c r="B67" s="14" t="s">
        <v>29</v>
      </c>
      <c r="C67" s="15" t="n">
        <v>153.55</v>
      </c>
      <c r="D67" s="16" t="n">
        <v>8654909</v>
      </c>
    </row>
    <row r="68" customFormat="false" ht="15" hidden="false" customHeight="false" outlineLevel="0" collapsed="false">
      <c r="A68" s="13" t="n">
        <v>45811</v>
      </c>
      <c r="B68" s="14" t="s">
        <v>29</v>
      </c>
      <c r="C68" s="15" t="n">
        <v>153.44</v>
      </c>
      <c r="D68" s="16" t="n">
        <v>38814054</v>
      </c>
    </row>
    <row r="69" customFormat="false" ht="15" hidden="false" customHeight="false" outlineLevel="0" collapsed="false">
      <c r="A69" s="13" t="n">
        <v>45812</v>
      </c>
      <c r="B69" s="14" t="s">
        <v>29</v>
      </c>
      <c r="C69" s="15" t="n">
        <v>156.24</v>
      </c>
      <c r="D69" s="16" t="n">
        <v>56291265</v>
      </c>
    </row>
    <row r="70" customFormat="false" ht="15" hidden="false" customHeight="false" outlineLevel="0" collapsed="false">
      <c r="A70" s="13" t="n">
        <v>45813</v>
      </c>
      <c r="B70" s="14" t="s">
        <v>29</v>
      </c>
      <c r="C70" s="15" t="n">
        <v>157.32</v>
      </c>
      <c r="D70" s="16" t="n">
        <v>40280002</v>
      </c>
    </row>
    <row r="71" customFormat="false" ht="15" hidden="false" customHeight="false" outlineLevel="0" collapsed="false">
      <c r="A71" s="13" t="n">
        <v>45814</v>
      </c>
      <c r="B71" s="14" t="s">
        <v>29</v>
      </c>
      <c r="C71" s="15" t="n">
        <v>155.62</v>
      </c>
      <c r="D71" s="16" t="n">
        <v>18194096</v>
      </c>
    </row>
    <row r="72" customFormat="false" ht="15" hidden="false" customHeight="false" outlineLevel="0" collapsed="false">
      <c r="A72" s="13" t="n">
        <v>45817</v>
      </c>
      <c r="B72" s="14" t="s">
        <v>29</v>
      </c>
      <c r="C72" s="15" t="n">
        <v>156.7</v>
      </c>
      <c r="D72" s="16" t="n">
        <v>33048740</v>
      </c>
    </row>
    <row r="73" customFormat="false" ht="15" hidden="false" customHeight="false" outlineLevel="0" collapsed="false">
      <c r="A73" s="13" t="n">
        <v>45818</v>
      </c>
      <c r="B73" s="14" t="s">
        <v>29</v>
      </c>
      <c r="C73" s="15" t="n">
        <v>161.04</v>
      </c>
      <c r="D73" s="16" t="n">
        <v>16421040</v>
      </c>
    </row>
    <row r="74" customFormat="false" ht="15" hidden="false" customHeight="false" outlineLevel="0" collapsed="false">
      <c r="A74" s="13" t="n">
        <v>45819</v>
      </c>
      <c r="B74" s="14" t="s">
        <v>29</v>
      </c>
      <c r="C74" s="15" t="n">
        <v>161.02</v>
      </c>
      <c r="D74" s="16" t="n">
        <v>58404343</v>
      </c>
    </row>
    <row r="75" customFormat="false" ht="15" hidden="false" customHeight="false" outlineLevel="0" collapsed="false">
      <c r="A75" s="13" t="n">
        <v>45820</v>
      </c>
      <c r="B75" s="14" t="s">
        <v>29</v>
      </c>
      <c r="C75" s="15" t="n">
        <v>165.56</v>
      </c>
      <c r="D75" s="16" t="n">
        <v>25210512</v>
      </c>
    </row>
    <row r="76" customFormat="false" ht="15" hidden="false" customHeight="false" outlineLevel="0" collapsed="false">
      <c r="A76" s="13" t="n">
        <v>45821</v>
      </c>
      <c r="B76" s="14" t="s">
        <v>29</v>
      </c>
      <c r="C76" s="15" t="n">
        <v>158</v>
      </c>
      <c r="D76" s="16" t="n">
        <v>5965050</v>
      </c>
    </row>
    <row r="77" customFormat="false" ht="15" hidden="false" customHeight="false" outlineLevel="0" collapsed="false">
      <c r="A77" s="13" t="n">
        <v>45824</v>
      </c>
      <c r="B77" s="14" t="s">
        <v>29</v>
      </c>
      <c r="C77" s="15" t="n">
        <v>160.38</v>
      </c>
      <c r="D77" s="16" t="n">
        <v>1813168</v>
      </c>
    </row>
    <row r="78" customFormat="false" ht="15" hidden="false" customHeight="false" outlineLevel="0" collapsed="false">
      <c r="A78" s="13" t="n">
        <v>45825</v>
      </c>
      <c r="B78" s="14" t="s">
        <v>29</v>
      </c>
      <c r="C78" s="15" t="n">
        <v>160.71</v>
      </c>
      <c r="D78" s="16" t="n">
        <v>34779713</v>
      </c>
    </row>
    <row r="79" customFormat="false" ht="15" hidden="false" customHeight="false" outlineLevel="0" collapsed="false">
      <c r="A79" s="13" t="n">
        <v>45826</v>
      </c>
      <c r="B79" s="14" t="s">
        <v>29</v>
      </c>
      <c r="C79" s="15" t="n">
        <v>159.95</v>
      </c>
      <c r="D79" s="16" t="n">
        <v>12506305</v>
      </c>
    </row>
    <row r="80" customFormat="false" ht="15" hidden="false" customHeight="false" outlineLevel="0" collapsed="false">
      <c r="A80" s="13" t="n">
        <v>45827</v>
      </c>
      <c r="B80" s="14" t="s">
        <v>29</v>
      </c>
      <c r="C80" s="15" t="n">
        <v>160.3</v>
      </c>
      <c r="D80" s="16" t="n">
        <v>21560091</v>
      </c>
    </row>
    <row r="81" customFormat="false" ht="15" hidden="false" customHeight="false" outlineLevel="0" collapsed="false">
      <c r="A81" s="13" t="n">
        <v>45828</v>
      </c>
      <c r="B81" s="14" t="s">
        <v>29</v>
      </c>
      <c r="C81" s="15" t="n">
        <v>154.77</v>
      </c>
      <c r="D81" s="16" t="n">
        <v>20772981</v>
      </c>
    </row>
    <row r="82" customFormat="false" ht="15" hidden="false" customHeight="false" outlineLevel="0" collapsed="false">
      <c r="A82" s="13" t="n">
        <v>45719</v>
      </c>
      <c r="B82" s="14" t="s">
        <v>33</v>
      </c>
      <c r="C82" s="15" t="n">
        <v>370</v>
      </c>
      <c r="D82" s="16" t="n">
        <v>54059071</v>
      </c>
    </row>
    <row r="83" customFormat="false" ht="15" hidden="false" customHeight="false" outlineLevel="0" collapsed="false">
      <c r="A83" s="13" t="n">
        <v>45720</v>
      </c>
      <c r="B83" s="14" t="s">
        <v>33</v>
      </c>
      <c r="C83" s="15" t="n">
        <v>368.77</v>
      </c>
      <c r="D83" s="16" t="n">
        <v>23487056</v>
      </c>
    </row>
    <row r="84" customFormat="false" ht="15" hidden="false" customHeight="false" outlineLevel="0" collapsed="false">
      <c r="A84" s="13" t="n">
        <v>45721</v>
      </c>
      <c r="B84" s="14" t="s">
        <v>33</v>
      </c>
      <c r="C84" s="15" t="n">
        <v>377.66</v>
      </c>
      <c r="D84" s="16" t="n">
        <v>44703467</v>
      </c>
    </row>
    <row r="85" customFormat="false" ht="15" hidden="false" customHeight="false" outlineLevel="0" collapsed="false">
      <c r="A85" s="13" t="n">
        <v>45722</v>
      </c>
      <c r="B85" s="14" t="s">
        <v>33</v>
      </c>
      <c r="C85" s="15" t="n">
        <v>384.5</v>
      </c>
      <c r="D85" s="16" t="n">
        <v>13707035</v>
      </c>
    </row>
    <row r="86" customFormat="false" ht="15" hidden="false" customHeight="false" outlineLevel="0" collapsed="false">
      <c r="A86" s="13" t="n">
        <v>45723</v>
      </c>
      <c r="B86" s="14" t="s">
        <v>33</v>
      </c>
      <c r="C86" s="15" t="n">
        <v>369.01</v>
      </c>
      <c r="D86" s="16" t="n">
        <v>6130397</v>
      </c>
    </row>
    <row r="87" customFormat="false" ht="15" hidden="false" customHeight="false" outlineLevel="0" collapsed="false">
      <c r="A87" s="13" t="n">
        <v>45726</v>
      </c>
      <c r="B87" s="14" t="s">
        <v>33</v>
      </c>
      <c r="C87" s="15" t="n">
        <v>378.19</v>
      </c>
      <c r="D87" s="16" t="n">
        <v>4451356</v>
      </c>
    </row>
    <row r="88" customFormat="false" ht="15" hidden="false" customHeight="false" outlineLevel="0" collapsed="false">
      <c r="A88" s="13" t="n">
        <v>45727</v>
      </c>
      <c r="B88" s="14" t="s">
        <v>33</v>
      </c>
      <c r="C88" s="15" t="n">
        <v>391.8</v>
      </c>
      <c r="D88" s="16" t="n">
        <v>37998516</v>
      </c>
    </row>
    <row r="89" customFormat="false" ht="15" hidden="false" customHeight="false" outlineLevel="0" collapsed="false">
      <c r="A89" s="13" t="n">
        <v>45728</v>
      </c>
      <c r="B89" s="14" t="s">
        <v>33</v>
      </c>
      <c r="C89" s="15" t="n">
        <v>399.95</v>
      </c>
      <c r="D89" s="16" t="n">
        <v>37481541</v>
      </c>
    </row>
    <row r="90" customFormat="false" ht="15" hidden="false" customHeight="false" outlineLevel="0" collapsed="false">
      <c r="A90" s="13" t="n">
        <v>45729</v>
      </c>
      <c r="B90" s="14" t="s">
        <v>33</v>
      </c>
      <c r="C90" s="15" t="n">
        <v>398.8</v>
      </c>
      <c r="D90" s="16" t="n">
        <v>47315618</v>
      </c>
    </row>
    <row r="91" customFormat="false" ht="15" hidden="false" customHeight="false" outlineLevel="0" collapsed="false">
      <c r="A91" s="13" t="n">
        <v>45730</v>
      </c>
      <c r="B91" s="14" t="s">
        <v>33</v>
      </c>
      <c r="C91" s="15" t="n">
        <v>394.55</v>
      </c>
      <c r="D91" s="16" t="n">
        <v>58311099</v>
      </c>
    </row>
    <row r="92" customFormat="false" ht="15" hidden="false" customHeight="false" outlineLevel="0" collapsed="false">
      <c r="A92" s="13" t="n">
        <v>45733</v>
      </c>
      <c r="B92" s="14" t="s">
        <v>33</v>
      </c>
      <c r="C92" s="15" t="n">
        <v>399.51</v>
      </c>
      <c r="D92" s="16" t="n">
        <v>28674903</v>
      </c>
    </row>
    <row r="93" customFormat="false" ht="15" hidden="false" customHeight="false" outlineLevel="0" collapsed="false">
      <c r="A93" s="13" t="n">
        <v>45734</v>
      </c>
      <c r="B93" s="14" t="s">
        <v>33</v>
      </c>
      <c r="C93" s="15" t="n">
        <v>395.71</v>
      </c>
      <c r="D93" s="16" t="n">
        <v>12275612</v>
      </c>
    </row>
    <row r="94" customFormat="false" ht="15" hidden="false" customHeight="false" outlineLevel="0" collapsed="false">
      <c r="A94" s="13" t="n">
        <v>45735</v>
      </c>
      <c r="B94" s="14" t="s">
        <v>33</v>
      </c>
      <c r="C94" s="15" t="n">
        <v>398.27</v>
      </c>
      <c r="D94" s="16" t="n">
        <v>28097584</v>
      </c>
    </row>
    <row r="95" customFormat="false" ht="15" hidden="false" customHeight="false" outlineLevel="0" collapsed="false">
      <c r="A95" s="13" t="n">
        <v>45736</v>
      </c>
      <c r="B95" s="14" t="s">
        <v>33</v>
      </c>
      <c r="C95" s="15" t="n">
        <v>398.38</v>
      </c>
      <c r="D95" s="16" t="n">
        <v>26297197</v>
      </c>
    </row>
    <row r="96" customFormat="false" ht="15" hidden="false" customHeight="false" outlineLevel="0" collapsed="false">
      <c r="A96" s="13" t="n">
        <v>45737</v>
      </c>
      <c r="B96" s="14" t="s">
        <v>33</v>
      </c>
      <c r="C96" s="15" t="n">
        <v>406.58</v>
      </c>
      <c r="D96" s="16" t="n">
        <v>59110132</v>
      </c>
    </row>
    <row r="97" customFormat="false" ht="15" hidden="false" customHeight="false" outlineLevel="0" collapsed="false">
      <c r="A97" s="13" t="n">
        <v>45740</v>
      </c>
      <c r="B97" s="14" t="s">
        <v>33</v>
      </c>
      <c r="C97" s="15" t="n">
        <v>404.24</v>
      </c>
      <c r="D97" s="16" t="n">
        <v>43058334</v>
      </c>
    </row>
    <row r="98" customFormat="false" ht="15" hidden="false" customHeight="false" outlineLevel="0" collapsed="false">
      <c r="A98" s="13" t="n">
        <v>45741</v>
      </c>
      <c r="B98" s="14" t="s">
        <v>33</v>
      </c>
      <c r="C98" s="15" t="n">
        <v>401.57</v>
      </c>
      <c r="D98" s="16" t="n">
        <v>46075554</v>
      </c>
    </row>
    <row r="99" customFormat="false" ht="15" hidden="false" customHeight="false" outlineLevel="0" collapsed="false">
      <c r="A99" s="13" t="n">
        <v>45742</v>
      </c>
      <c r="B99" s="14" t="s">
        <v>33</v>
      </c>
      <c r="C99" s="15" t="n">
        <v>404.31</v>
      </c>
      <c r="D99" s="16" t="n">
        <v>50742523</v>
      </c>
    </row>
    <row r="100" customFormat="false" ht="15" hidden="false" customHeight="false" outlineLevel="0" collapsed="false">
      <c r="A100" s="13" t="n">
        <v>45743</v>
      </c>
      <c r="B100" s="14" t="s">
        <v>33</v>
      </c>
      <c r="C100" s="15" t="n">
        <v>417.37</v>
      </c>
      <c r="D100" s="16" t="n">
        <v>40769056</v>
      </c>
    </row>
    <row r="101" customFormat="false" ht="15" hidden="false" customHeight="false" outlineLevel="0" collapsed="false">
      <c r="A101" s="13" t="n">
        <v>45744</v>
      </c>
      <c r="B101" s="14" t="s">
        <v>33</v>
      </c>
      <c r="C101" s="15" t="n">
        <v>418.19</v>
      </c>
      <c r="D101" s="16" t="n">
        <v>56174259</v>
      </c>
    </row>
    <row r="102" customFormat="false" ht="15" hidden="false" customHeight="false" outlineLevel="0" collapsed="false">
      <c r="A102" s="13" t="n">
        <v>45747</v>
      </c>
      <c r="B102" s="14" t="s">
        <v>33</v>
      </c>
      <c r="C102" s="15" t="n">
        <v>415.61</v>
      </c>
      <c r="D102" s="16" t="n">
        <v>57688830</v>
      </c>
    </row>
    <row r="103" customFormat="false" ht="15" hidden="false" customHeight="false" outlineLevel="0" collapsed="false">
      <c r="A103" s="13" t="n">
        <v>45748</v>
      </c>
      <c r="B103" s="14" t="s">
        <v>33</v>
      </c>
      <c r="C103" s="15" t="n">
        <v>421.71</v>
      </c>
      <c r="D103" s="16" t="n">
        <v>38890300</v>
      </c>
    </row>
    <row r="104" customFormat="false" ht="15" hidden="false" customHeight="false" outlineLevel="0" collapsed="false">
      <c r="A104" s="13" t="n">
        <v>45749</v>
      </c>
      <c r="B104" s="14" t="s">
        <v>33</v>
      </c>
      <c r="C104" s="15" t="n">
        <v>426.93</v>
      </c>
      <c r="D104" s="16" t="n">
        <v>44369428</v>
      </c>
    </row>
    <row r="105" customFormat="false" ht="15" hidden="false" customHeight="false" outlineLevel="0" collapsed="false">
      <c r="A105" s="13" t="n">
        <v>45750</v>
      </c>
      <c r="B105" s="14" t="s">
        <v>33</v>
      </c>
      <c r="C105" s="15" t="n">
        <v>420.55</v>
      </c>
      <c r="D105" s="16" t="n">
        <v>15650271</v>
      </c>
    </row>
    <row r="106" customFormat="false" ht="15" hidden="false" customHeight="false" outlineLevel="0" collapsed="false">
      <c r="A106" s="13" t="n">
        <v>45751</v>
      </c>
      <c r="B106" s="14" t="s">
        <v>33</v>
      </c>
      <c r="C106" s="15" t="n">
        <v>417.13</v>
      </c>
      <c r="D106" s="16" t="n">
        <v>32725526</v>
      </c>
    </row>
    <row r="107" customFormat="false" ht="15" hidden="false" customHeight="false" outlineLevel="0" collapsed="false">
      <c r="A107" s="13" t="n">
        <v>45754</v>
      </c>
      <c r="B107" s="14" t="s">
        <v>33</v>
      </c>
      <c r="C107" s="15" t="n">
        <v>424.88</v>
      </c>
      <c r="D107" s="16" t="n">
        <v>13240032</v>
      </c>
    </row>
    <row r="108" customFormat="false" ht="15" hidden="false" customHeight="false" outlineLevel="0" collapsed="false">
      <c r="A108" s="13" t="n">
        <v>45755</v>
      </c>
      <c r="B108" s="14" t="s">
        <v>33</v>
      </c>
      <c r="C108" s="15" t="n">
        <v>428.13</v>
      </c>
      <c r="D108" s="16" t="n">
        <v>19992383</v>
      </c>
    </row>
    <row r="109" customFormat="false" ht="15" hidden="false" customHeight="false" outlineLevel="0" collapsed="false">
      <c r="A109" s="13" t="n">
        <v>45756</v>
      </c>
      <c r="B109" s="14" t="s">
        <v>33</v>
      </c>
      <c r="C109" s="15" t="n">
        <v>411.08</v>
      </c>
      <c r="D109" s="16" t="n">
        <v>4886402</v>
      </c>
    </row>
    <row r="110" customFormat="false" ht="15" hidden="false" customHeight="false" outlineLevel="0" collapsed="false">
      <c r="A110" s="13" t="n">
        <v>45757</v>
      </c>
      <c r="B110" s="14" t="s">
        <v>33</v>
      </c>
      <c r="C110" s="15" t="n">
        <v>414.59</v>
      </c>
      <c r="D110" s="16" t="n">
        <v>57877183</v>
      </c>
    </row>
    <row r="111" customFormat="false" ht="15" hidden="false" customHeight="false" outlineLevel="0" collapsed="false">
      <c r="A111" s="13" t="n">
        <v>45758</v>
      </c>
      <c r="B111" s="14" t="s">
        <v>33</v>
      </c>
      <c r="C111" s="15" t="n">
        <v>421.15</v>
      </c>
      <c r="D111" s="16" t="n">
        <v>58174033</v>
      </c>
    </row>
    <row r="112" customFormat="false" ht="15" hidden="false" customHeight="false" outlineLevel="0" collapsed="false">
      <c r="A112" s="13" t="n">
        <v>45761</v>
      </c>
      <c r="B112" s="14" t="s">
        <v>33</v>
      </c>
      <c r="C112" s="15" t="n">
        <v>415.64</v>
      </c>
      <c r="D112" s="16" t="n">
        <v>43632984</v>
      </c>
    </row>
    <row r="113" customFormat="false" ht="15" hidden="false" customHeight="false" outlineLevel="0" collapsed="false">
      <c r="A113" s="13" t="n">
        <v>45762</v>
      </c>
      <c r="B113" s="14" t="s">
        <v>33</v>
      </c>
      <c r="C113" s="15" t="n">
        <v>420.51</v>
      </c>
      <c r="D113" s="16" t="n">
        <v>18465321</v>
      </c>
    </row>
    <row r="114" customFormat="false" ht="15" hidden="false" customHeight="false" outlineLevel="0" collapsed="false">
      <c r="A114" s="13" t="n">
        <v>45763</v>
      </c>
      <c r="B114" s="14" t="s">
        <v>33</v>
      </c>
      <c r="C114" s="15" t="n">
        <v>433.67</v>
      </c>
      <c r="D114" s="16" t="n">
        <v>2989173</v>
      </c>
    </row>
    <row r="115" customFormat="false" ht="15" hidden="false" customHeight="false" outlineLevel="0" collapsed="false">
      <c r="A115" s="13" t="n">
        <v>45764</v>
      </c>
      <c r="B115" s="14" t="s">
        <v>33</v>
      </c>
      <c r="C115" s="15" t="n">
        <v>436.76</v>
      </c>
      <c r="D115" s="16" t="n">
        <v>37635193</v>
      </c>
    </row>
    <row r="116" customFormat="false" ht="15" hidden="false" customHeight="false" outlineLevel="0" collapsed="false">
      <c r="A116" s="13" t="n">
        <v>45765</v>
      </c>
      <c r="B116" s="14" t="s">
        <v>33</v>
      </c>
      <c r="C116" s="15" t="n">
        <v>432.56</v>
      </c>
      <c r="D116" s="16" t="n">
        <v>35968898</v>
      </c>
    </row>
    <row r="117" customFormat="false" ht="15" hidden="false" customHeight="false" outlineLevel="0" collapsed="false">
      <c r="A117" s="13" t="n">
        <v>45768</v>
      </c>
      <c r="B117" s="14" t="s">
        <v>33</v>
      </c>
      <c r="C117" s="15" t="n">
        <v>429.14</v>
      </c>
      <c r="D117" s="16" t="n">
        <v>33474983</v>
      </c>
    </row>
    <row r="118" customFormat="false" ht="15" hidden="false" customHeight="false" outlineLevel="0" collapsed="false">
      <c r="A118" s="13" t="n">
        <v>45769</v>
      </c>
      <c r="B118" s="14" t="s">
        <v>33</v>
      </c>
      <c r="C118" s="15" t="n">
        <v>429.5</v>
      </c>
      <c r="D118" s="16" t="n">
        <v>34999533</v>
      </c>
    </row>
    <row r="119" customFormat="false" ht="15" hidden="false" customHeight="false" outlineLevel="0" collapsed="false">
      <c r="A119" s="13" t="n">
        <v>45770</v>
      </c>
      <c r="B119" s="14" t="s">
        <v>33</v>
      </c>
      <c r="C119" s="15" t="n">
        <v>432.43</v>
      </c>
      <c r="D119" s="16" t="n">
        <v>15716695</v>
      </c>
    </row>
    <row r="120" customFormat="false" ht="15" hidden="false" customHeight="false" outlineLevel="0" collapsed="false">
      <c r="A120" s="13" t="n">
        <v>45771</v>
      </c>
      <c r="B120" s="14" t="s">
        <v>33</v>
      </c>
      <c r="C120" s="15" t="n">
        <v>433.15</v>
      </c>
      <c r="D120" s="16" t="n">
        <v>25883825</v>
      </c>
    </row>
    <row r="121" customFormat="false" ht="15" hidden="false" customHeight="false" outlineLevel="0" collapsed="false">
      <c r="A121" s="13" t="n">
        <v>45772</v>
      </c>
      <c r="B121" s="14" t="s">
        <v>33</v>
      </c>
      <c r="C121" s="15" t="n">
        <v>436.98</v>
      </c>
      <c r="D121" s="16" t="n">
        <v>25190239</v>
      </c>
    </row>
    <row r="122" customFormat="false" ht="15" hidden="false" customHeight="false" outlineLevel="0" collapsed="false">
      <c r="A122" s="13" t="n">
        <v>45775</v>
      </c>
      <c r="B122" s="14" t="s">
        <v>33</v>
      </c>
      <c r="C122" s="15" t="n">
        <v>436.21</v>
      </c>
      <c r="D122" s="16" t="n">
        <v>25390485</v>
      </c>
    </row>
    <row r="123" customFormat="false" ht="15" hidden="false" customHeight="false" outlineLevel="0" collapsed="false">
      <c r="A123" s="13" t="n">
        <v>45776</v>
      </c>
      <c r="B123" s="14" t="s">
        <v>33</v>
      </c>
      <c r="C123" s="15" t="n">
        <v>437.78</v>
      </c>
      <c r="D123" s="16" t="n">
        <v>18882750</v>
      </c>
    </row>
    <row r="124" customFormat="false" ht="15" hidden="false" customHeight="false" outlineLevel="0" collapsed="false">
      <c r="A124" s="13" t="n">
        <v>45777</v>
      </c>
      <c r="B124" s="14" t="s">
        <v>33</v>
      </c>
      <c r="C124" s="15" t="n">
        <v>444.97</v>
      </c>
      <c r="D124" s="16" t="n">
        <v>12616410</v>
      </c>
    </row>
    <row r="125" customFormat="false" ht="15" hidden="false" customHeight="false" outlineLevel="0" collapsed="false">
      <c r="A125" s="13" t="n">
        <v>45778</v>
      </c>
      <c r="B125" s="14" t="s">
        <v>33</v>
      </c>
      <c r="C125" s="15" t="n">
        <v>437.5</v>
      </c>
      <c r="D125" s="16" t="n">
        <v>11192257</v>
      </c>
    </row>
    <row r="126" customFormat="false" ht="15" hidden="false" customHeight="false" outlineLevel="0" collapsed="false">
      <c r="A126" s="13" t="n">
        <v>45779</v>
      </c>
      <c r="B126" s="14" t="s">
        <v>33</v>
      </c>
      <c r="C126" s="15" t="n">
        <v>438.55</v>
      </c>
      <c r="D126" s="16" t="n">
        <v>44167705</v>
      </c>
    </row>
    <row r="127" customFormat="false" ht="15" hidden="false" customHeight="false" outlineLevel="0" collapsed="false">
      <c r="A127" s="13" t="n">
        <v>45782</v>
      </c>
      <c r="B127" s="14" t="s">
        <v>33</v>
      </c>
      <c r="C127" s="15" t="n">
        <v>439.59</v>
      </c>
      <c r="D127" s="16" t="n">
        <v>28460368</v>
      </c>
    </row>
    <row r="128" customFormat="false" ht="15" hidden="false" customHeight="false" outlineLevel="0" collapsed="false">
      <c r="A128" s="13" t="n">
        <v>45783</v>
      </c>
      <c r="B128" s="14" t="s">
        <v>33</v>
      </c>
      <c r="C128" s="15" t="n">
        <v>446.5</v>
      </c>
      <c r="D128" s="16" t="n">
        <v>22130343</v>
      </c>
    </row>
    <row r="129" customFormat="false" ht="15" hidden="false" customHeight="false" outlineLevel="0" collapsed="false">
      <c r="A129" s="13" t="n">
        <v>45784</v>
      </c>
      <c r="B129" s="14" t="s">
        <v>33</v>
      </c>
      <c r="C129" s="15" t="n">
        <v>445.12</v>
      </c>
      <c r="D129" s="16" t="n">
        <v>41869792</v>
      </c>
    </row>
    <row r="130" customFormat="false" ht="15" hidden="false" customHeight="false" outlineLevel="0" collapsed="false">
      <c r="A130" s="13" t="n">
        <v>45785</v>
      </c>
      <c r="B130" s="14" t="s">
        <v>33</v>
      </c>
      <c r="C130" s="15" t="n">
        <v>450.17</v>
      </c>
      <c r="D130" s="16" t="n">
        <v>50913224</v>
      </c>
    </row>
    <row r="131" customFormat="false" ht="15" hidden="false" customHeight="false" outlineLevel="0" collapsed="false">
      <c r="A131" s="13" t="n">
        <v>45786</v>
      </c>
      <c r="B131" s="14" t="s">
        <v>33</v>
      </c>
      <c r="C131" s="15" t="n">
        <v>458.58</v>
      </c>
      <c r="D131" s="16" t="n">
        <v>25850677</v>
      </c>
    </row>
    <row r="132" customFormat="false" ht="15" hidden="false" customHeight="false" outlineLevel="0" collapsed="false">
      <c r="A132" s="13" t="n">
        <v>45789</v>
      </c>
      <c r="B132" s="14" t="s">
        <v>33</v>
      </c>
      <c r="C132" s="15" t="n">
        <v>444.98</v>
      </c>
      <c r="D132" s="16" t="n">
        <v>1498863</v>
      </c>
    </row>
    <row r="133" customFormat="false" ht="15" hidden="false" customHeight="false" outlineLevel="0" collapsed="false">
      <c r="A133" s="13" t="n">
        <v>45790</v>
      </c>
      <c r="B133" s="14" t="s">
        <v>33</v>
      </c>
      <c r="C133" s="15" t="n">
        <v>453.78</v>
      </c>
      <c r="D133" s="16" t="n">
        <v>26533478</v>
      </c>
    </row>
    <row r="134" customFormat="false" ht="15" hidden="false" customHeight="false" outlineLevel="0" collapsed="false">
      <c r="A134" s="13" t="n">
        <v>45791</v>
      </c>
      <c r="B134" s="14" t="s">
        <v>33</v>
      </c>
      <c r="C134" s="15" t="n">
        <v>446.74</v>
      </c>
      <c r="D134" s="16" t="n">
        <v>54007836</v>
      </c>
    </row>
    <row r="135" customFormat="false" ht="15" hidden="false" customHeight="false" outlineLevel="0" collapsed="false">
      <c r="A135" s="13" t="n">
        <v>45792</v>
      </c>
      <c r="B135" s="14" t="s">
        <v>33</v>
      </c>
      <c r="C135" s="15" t="n">
        <v>439.02</v>
      </c>
      <c r="D135" s="16" t="n">
        <v>54627638</v>
      </c>
    </row>
    <row r="136" customFormat="false" ht="15" hidden="false" customHeight="false" outlineLevel="0" collapsed="false">
      <c r="A136" s="13" t="n">
        <v>45793</v>
      </c>
      <c r="B136" s="14" t="s">
        <v>33</v>
      </c>
      <c r="C136" s="15" t="n">
        <v>418.6</v>
      </c>
      <c r="D136" s="16" t="n">
        <v>59114585</v>
      </c>
    </row>
    <row r="137" customFormat="false" ht="15" hidden="false" customHeight="false" outlineLevel="0" collapsed="false">
      <c r="A137" s="13" t="n">
        <v>45796</v>
      </c>
      <c r="B137" s="14" t="s">
        <v>33</v>
      </c>
      <c r="C137" s="15" t="n">
        <v>413.36</v>
      </c>
      <c r="D137" s="16" t="n">
        <v>57858466</v>
      </c>
    </row>
    <row r="138" customFormat="false" ht="15" hidden="false" customHeight="false" outlineLevel="0" collapsed="false">
      <c r="A138" s="13" t="n">
        <v>45797</v>
      </c>
      <c r="B138" s="14" t="s">
        <v>33</v>
      </c>
      <c r="C138" s="15" t="n">
        <v>413.59</v>
      </c>
      <c r="D138" s="16" t="n">
        <v>27658609</v>
      </c>
    </row>
    <row r="139" customFormat="false" ht="15" hidden="false" customHeight="false" outlineLevel="0" collapsed="false">
      <c r="A139" s="13" t="n">
        <v>45798</v>
      </c>
      <c r="B139" s="14" t="s">
        <v>33</v>
      </c>
      <c r="C139" s="15" t="n">
        <v>411.25</v>
      </c>
      <c r="D139" s="16" t="n">
        <v>34059736</v>
      </c>
    </row>
    <row r="140" customFormat="false" ht="15" hidden="false" customHeight="false" outlineLevel="0" collapsed="false">
      <c r="A140" s="13" t="n">
        <v>45799</v>
      </c>
      <c r="B140" s="14" t="s">
        <v>33</v>
      </c>
      <c r="C140" s="15" t="n">
        <v>408.4</v>
      </c>
      <c r="D140" s="16" t="n">
        <v>10185687</v>
      </c>
    </row>
    <row r="141" customFormat="false" ht="15" hidden="false" customHeight="false" outlineLevel="0" collapsed="false">
      <c r="A141" s="13" t="n">
        <v>45800</v>
      </c>
      <c r="B141" s="14" t="s">
        <v>33</v>
      </c>
      <c r="C141" s="15" t="n">
        <v>401.22</v>
      </c>
      <c r="D141" s="16" t="n">
        <v>31024204</v>
      </c>
    </row>
    <row r="142" customFormat="false" ht="15" hidden="false" customHeight="false" outlineLevel="0" collapsed="false">
      <c r="A142" s="13" t="n">
        <v>45803</v>
      </c>
      <c r="B142" s="14" t="s">
        <v>33</v>
      </c>
      <c r="C142" s="15" t="n">
        <v>407.17</v>
      </c>
      <c r="D142" s="16" t="n">
        <v>15900027</v>
      </c>
    </row>
    <row r="143" customFormat="false" ht="15" hidden="false" customHeight="false" outlineLevel="0" collapsed="false">
      <c r="A143" s="13" t="n">
        <v>45804</v>
      </c>
      <c r="B143" s="14" t="s">
        <v>33</v>
      </c>
      <c r="C143" s="15" t="n">
        <v>413.82</v>
      </c>
      <c r="D143" s="16" t="n">
        <v>49715257</v>
      </c>
    </row>
    <row r="144" customFormat="false" ht="15" hidden="false" customHeight="false" outlineLevel="0" collapsed="false">
      <c r="A144" s="13" t="n">
        <v>45805</v>
      </c>
      <c r="B144" s="14" t="s">
        <v>33</v>
      </c>
      <c r="C144" s="15" t="n">
        <v>416.92</v>
      </c>
      <c r="D144" s="16" t="n">
        <v>23268806</v>
      </c>
    </row>
    <row r="145" customFormat="false" ht="15" hidden="false" customHeight="false" outlineLevel="0" collapsed="false">
      <c r="A145" s="13" t="n">
        <v>45806</v>
      </c>
      <c r="B145" s="14" t="s">
        <v>33</v>
      </c>
      <c r="C145" s="15" t="n">
        <v>404.3</v>
      </c>
      <c r="D145" s="16" t="n">
        <v>7512440</v>
      </c>
    </row>
    <row r="146" customFormat="false" ht="15" hidden="false" customHeight="false" outlineLevel="0" collapsed="false">
      <c r="A146" s="13" t="n">
        <v>45807</v>
      </c>
      <c r="B146" s="14" t="s">
        <v>33</v>
      </c>
      <c r="C146" s="15" t="n">
        <v>419.61</v>
      </c>
      <c r="D146" s="16" t="n">
        <v>13431395</v>
      </c>
    </row>
    <row r="147" customFormat="false" ht="15" hidden="false" customHeight="false" outlineLevel="0" collapsed="false">
      <c r="A147" s="13" t="n">
        <v>45810</v>
      </c>
      <c r="B147" s="14" t="s">
        <v>33</v>
      </c>
      <c r="C147" s="15" t="n">
        <v>420.89</v>
      </c>
      <c r="D147" s="16" t="n">
        <v>7099628</v>
      </c>
    </row>
    <row r="148" customFormat="false" ht="15" hidden="false" customHeight="false" outlineLevel="0" collapsed="false">
      <c r="A148" s="13" t="n">
        <v>45811</v>
      </c>
      <c r="B148" s="14" t="s">
        <v>33</v>
      </c>
      <c r="C148" s="15" t="n">
        <v>424.87</v>
      </c>
      <c r="D148" s="16" t="n">
        <v>30093907</v>
      </c>
    </row>
    <row r="149" customFormat="false" ht="15" hidden="false" customHeight="false" outlineLevel="0" collapsed="false">
      <c r="A149" s="13" t="n">
        <v>45812</v>
      </c>
      <c r="B149" s="14" t="s">
        <v>33</v>
      </c>
      <c r="C149" s="15" t="n">
        <v>414.72</v>
      </c>
      <c r="D149" s="16" t="n">
        <v>41110400</v>
      </c>
    </row>
    <row r="150" customFormat="false" ht="15" hidden="false" customHeight="false" outlineLevel="0" collapsed="false">
      <c r="A150" s="13" t="n">
        <v>45813</v>
      </c>
      <c r="B150" s="14" t="s">
        <v>33</v>
      </c>
      <c r="C150" s="15" t="n">
        <v>414.9</v>
      </c>
      <c r="D150" s="16" t="n">
        <v>37253447</v>
      </c>
    </row>
    <row r="151" customFormat="false" ht="15" hidden="false" customHeight="false" outlineLevel="0" collapsed="false">
      <c r="A151" s="13" t="n">
        <v>45814</v>
      </c>
      <c r="B151" s="14" t="s">
        <v>33</v>
      </c>
      <c r="C151" s="15" t="n">
        <v>417.97</v>
      </c>
      <c r="D151" s="16" t="n">
        <v>27451949</v>
      </c>
    </row>
    <row r="152" customFormat="false" ht="15" hidden="false" customHeight="false" outlineLevel="0" collapsed="false">
      <c r="A152" s="13" t="n">
        <v>45817</v>
      </c>
      <c r="B152" s="14" t="s">
        <v>33</v>
      </c>
      <c r="C152" s="15" t="n">
        <v>417.28</v>
      </c>
      <c r="D152" s="16" t="n">
        <v>17722573</v>
      </c>
    </row>
    <row r="153" customFormat="false" ht="15" hidden="false" customHeight="false" outlineLevel="0" collapsed="false">
      <c r="A153" s="13" t="n">
        <v>45818</v>
      </c>
      <c r="B153" s="14" t="s">
        <v>33</v>
      </c>
      <c r="C153" s="15" t="n">
        <v>423.5</v>
      </c>
      <c r="D153" s="16" t="n">
        <v>50895282</v>
      </c>
    </row>
    <row r="154" customFormat="false" ht="15" hidden="false" customHeight="false" outlineLevel="0" collapsed="false">
      <c r="A154" s="13" t="n">
        <v>45819</v>
      </c>
      <c r="B154" s="14" t="s">
        <v>33</v>
      </c>
      <c r="C154" s="15" t="n">
        <v>432.79</v>
      </c>
      <c r="D154" s="16" t="n">
        <v>43392022</v>
      </c>
    </row>
    <row r="155" customFormat="false" ht="15" hidden="false" customHeight="false" outlineLevel="0" collapsed="false">
      <c r="A155" s="13" t="n">
        <v>45820</v>
      </c>
      <c r="B155" s="14" t="s">
        <v>33</v>
      </c>
      <c r="C155" s="15" t="n">
        <v>423.54</v>
      </c>
      <c r="D155" s="16" t="n">
        <v>52504270</v>
      </c>
    </row>
    <row r="156" customFormat="false" ht="15" hidden="false" customHeight="false" outlineLevel="0" collapsed="false">
      <c r="A156" s="13" t="n">
        <v>45821</v>
      </c>
      <c r="B156" s="14" t="s">
        <v>33</v>
      </c>
      <c r="C156" s="15" t="n">
        <v>429.71</v>
      </c>
      <c r="D156" s="16" t="n">
        <v>3503771</v>
      </c>
    </row>
    <row r="157" customFormat="false" ht="15" hidden="false" customHeight="false" outlineLevel="0" collapsed="false">
      <c r="A157" s="13" t="n">
        <v>45824</v>
      </c>
      <c r="B157" s="14" t="s">
        <v>33</v>
      </c>
      <c r="C157" s="15" t="n">
        <v>432.75</v>
      </c>
      <c r="D157" s="16" t="n">
        <v>4177825</v>
      </c>
    </row>
    <row r="158" customFormat="false" ht="15" hidden="false" customHeight="false" outlineLevel="0" collapsed="false">
      <c r="A158" s="13" t="n">
        <v>45825</v>
      </c>
      <c r="B158" s="14" t="s">
        <v>33</v>
      </c>
      <c r="C158" s="15" t="n">
        <v>433</v>
      </c>
      <c r="D158" s="16" t="n">
        <v>1996161</v>
      </c>
    </row>
    <row r="159" customFormat="false" ht="15" hidden="false" customHeight="false" outlineLevel="0" collapsed="false">
      <c r="A159" s="13" t="n">
        <v>45826</v>
      </c>
      <c r="B159" s="14" t="s">
        <v>33</v>
      </c>
      <c r="C159" s="15" t="n">
        <v>422.13</v>
      </c>
      <c r="D159" s="16" t="n">
        <v>5183839</v>
      </c>
    </row>
    <row r="160" customFormat="false" ht="15" hidden="false" customHeight="false" outlineLevel="0" collapsed="false">
      <c r="A160" s="13" t="n">
        <v>45827</v>
      </c>
      <c r="B160" s="14" t="s">
        <v>33</v>
      </c>
      <c r="C160" s="15" t="n">
        <v>432.63</v>
      </c>
      <c r="D160" s="16" t="n">
        <v>1666326</v>
      </c>
    </row>
    <row r="161" customFormat="false" ht="15" hidden="false" customHeight="false" outlineLevel="0" collapsed="false">
      <c r="A161" s="13" t="n">
        <v>45828</v>
      </c>
      <c r="B161" s="14" t="s">
        <v>33</v>
      </c>
      <c r="C161" s="15" t="n">
        <v>435.72</v>
      </c>
      <c r="D161" s="16" t="n">
        <v>1649150</v>
      </c>
    </row>
    <row r="162" customFormat="false" ht="15" hidden="false" customHeight="false" outlineLevel="0" collapsed="false">
      <c r="A162" s="13" t="n">
        <v>45719</v>
      </c>
      <c r="B162" s="14" t="s">
        <v>35</v>
      </c>
      <c r="C162" s="15" t="n">
        <v>60</v>
      </c>
      <c r="D162" s="16" t="n">
        <v>47333926</v>
      </c>
    </row>
    <row r="163" customFormat="false" ht="15" hidden="false" customHeight="false" outlineLevel="0" collapsed="false">
      <c r="A163" s="13" t="n">
        <v>45720</v>
      </c>
      <c r="B163" s="14" t="s">
        <v>35</v>
      </c>
      <c r="C163" s="15" t="n">
        <v>59.41</v>
      </c>
      <c r="D163" s="16" t="n">
        <v>11389599</v>
      </c>
    </row>
    <row r="164" customFormat="false" ht="15" hidden="false" customHeight="false" outlineLevel="0" collapsed="false">
      <c r="A164" s="13" t="n">
        <v>45721</v>
      </c>
      <c r="B164" s="14" t="s">
        <v>35</v>
      </c>
      <c r="C164" s="15" t="n">
        <v>57.41</v>
      </c>
      <c r="D164" s="16" t="n">
        <v>55453911</v>
      </c>
    </row>
    <row r="165" customFormat="false" ht="15" hidden="false" customHeight="false" outlineLevel="0" collapsed="false">
      <c r="A165" s="13" t="n">
        <v>45722</v>
      </c>
      <c r="B165" s="14" t="s">
        <v>35</v>
      </c>
      <c r="C165" s="15" t="n">
        <v>57.81</v>
      </c>
      <c r="D165" s="16" t="n">
        <v>34249942</v>
      </c>
    </row>
    <row r="166" customFormat="false" ht="15" hidden="false" customHeight="false" outlineLevel="0" collapsed="false">
      <c r="A166" s="13" t="n">
        <v>45723</v>
      </c>
      <c r="B166" s="14" t="s">
        <v>35</v>
      </c>
      <c r="C166" s="15" t="n">
        <v>57.37</v>
      </c>
      <c r="D166" s="16" t="n">
        <v>39149309</v>
      </c>
    </row>
    <row r="167" customFormat="false" ht="15" hidden="false" customHeight="false" outlineLevel="0" collapsed="false">
      <c r="A167" s="13" t="n">
        <v>45726</v>
      </c>
      <c r="B167" s="14" t="s">
        <v>35</v>
      </c>
      <c r="C167" s="15" t="n">
        <v>57.47</v>
      </c>
      <c r="D167" s="16" t="n">
        <v>19132747</v>
      </c>
    </row>
    <row r="168" customFormat="false" ht="15" hidden="false" customHeight="false" outlineLevel="0" collapsed="false">
      <c r="A168" s="13" t="n">
        <v>45727</v>
      </c>
      <c r="B168" s="14" t="s">
        <v>35</v>
      </c>
      <c r="C168" s="15" t="n">
        <v>56.51</v>
      </c>
      <c r="D168" s="16" t="n">
        <v>31575984</v>
      </c>
    </row>
    <row r="169" customFormat="false" ht="15" hidden="false" customHeight="false" outlineLevel="0" collapsed="false">
      <c r="A169" s="13" t="n">
        <v>45728</v>
      </c>
      <c r="B169" s="14" t="s">
        <v>35</v>
      </c>
      <c r="C169" s="15" t="n">
        <v>56.16</v>
      </c>
      <c r="D169" s="16" t="n">
        <v>35229942</v>
      </c>
    </row>
    <row r="170" customFormat="false" ht="15" hidden="false" customHeight="false" outlineLevel="0" collapsed="false">
      <c r="A170" s="13" t="n">
        <v>45729</v>
      </c>
      <c r="B170" s="14" t="s">
        <v>35</v>
      </c>
      <c r="C170" s="15" t="n">
        <v>57.83</v>
      </c>
      <c r="D170" s="16" t="n">
        <v>4741196</v>
      </c>
    </row>
    <row r="171" customFormat="false" ht="15" hidden="false" customHeight="false" outlineLevel="0" collapsed="false">
      <c r="A171" s="13" t="n">
        <v>45730</v>
      </c>
      <c r="B171" s="14" t="s">
        <v>35</v>
      </c>
      <c r="C171" s="15" t="n">
        <v>57.98</v>
      </c>
      <c r="D171" s="16" t="n">
        <v>24767318</v>
      </c>
    </row>
    <row r="172" customFormat="false" ht="15" hidden="false" customHeight="false" outlineLevel="0" collapsed="false">
      <c r="A172" s="13" t="n">
        <v>45733</v>
      </c>
      <c r="B172" s="14" t="s">
        <v>35</v>
      </c>
      <c r="C172" s="15" t="n">
        <v>58.59</v>
      </c>
      <c r="D172" s="16" t="n">
        <v>20511512</v>
      </c>
    </row>
    <row r="173" customFormat="false" ht="15" hidden="false" customHeight="false" outlineLevel="0" collapsed="false">
      <c r="A173" s="13" t="n">
        <v>45734</v>
      </c>
      <c r="B173" s="14" t="s">
        <v>35</v>
      </c>
      <c r="C173" s="15" t="n">
        <v>57.2</v>
      </c>
      <c r="D173" s="16" t="n">
        <v>17583522</v>
      </c>
    </row>
    <row r="174" customFormat="false" ht="15" hidden="false" customHeight="false" outlineLevel="0" collapsed="false">
      <c r="A174" s="13" t="n">
        <v>45735</v>
      </c>
      <c r="B174" s="14" t="s">
        <v>35</v>
      </c>
      <c r="C174" s="15" t="n">
        <v>59.79</v>
      </c>
      <c r="D174" s="16" t="n">
        <v>41260456</v>
      </c>
    </row>
    <row r="175" customFormat="false" ht="15" hidden="false" customHeight="false" outlineLevel="0" collapsed="false">
      <c r="A175" s="13" t="n">
        <v>45736</v>
      </c>
      <c r="B175" s="14" t="s">
        <v>35</v>
      </c>
      <c r="C175" s="15" t="n">
        <v>61.89</v>
      </c>
      <c r="D175" s="16" t="n">
        <v>12720477</v>
      </c>
    </row>
    <row r="176" customFormat="false" ht="15" hidden="false" customHeight="false" outlineLevel="0" collapsed="false">
      <c r="A176" s="13" t="n">
        <v>45737</v>
      </c>
      <c r="B176" s="14" t="s">
        <v>35</v>
      </c>
      <c r="C176" s="15" t="n">
        <v>63.49</v>
      </c>
      <c r="D176" s="16" t="n">
        <v>52229968</v>
      </c>
    </row>
    <row r="177" customFormat="false" ht="15" hidden="false" customHeight="false" outlineLevel="0" collapsed="false">
      <c r="A177" s="13" t="n">
        <v>45740</v>
      </c>
      <c r="B177" s="14" t="s">
        <v>35</v>
      </c>
      <c r="C177" s="15" t="n">
        <v>64.5</v>
      </c>
      <c r="D177" s="16" t="n">
        <v>14217648</v>
      </c>
    </row>
    <row r="178" customFormat="false" ht="15" hidden="false" customHeight="false" outlineLevel="0" collapsed="false">
      <c r="A178" s="13" t="n">
        <v>45741</v>
      </c>
      <c r="B178" s="14" t="s">
        <v>35</v>
      </c>
      <c r="C178" s="15" t="n">
        <v>64.53</v>
      </c>
      <c r="D178" s="16" t="n">
        <v>23558781</v>
      </c>
    </row>
    <row r="179" customFormat="false" ht="15" hidden="false" customHeight="false" outlineLevel="0" collapsed="false">
      <c r="A179" s="13" t="n">
        <v>45742</v>
      </c>
      <c r="B179" s="14" t="s">
        <v>35</v>
      </c>
      <c r="C179" s="15" t="n">
        <v>65.08</v>
      </c>
      <c r="D179" s="16" t="n">
        <v>53339283</v>
      </c>
    </row>
    <row r="180" customFormat="false" ht="15" hidden="false" customHeight="false" outlineLevel="0" collapsed="false">
      <c r="A180" s="13" t="n">
        <v>45743</v>
      </c>
      <c r="B180" s="14" t="s">
        <v>35</v>
      </c>
      <c r="C180" s="15" t="n">
        <v>66.39</v>
      </c>
      <c r="D180" s="16" t="n">
        <v>33425301</v>
      </c>
    </row>
    <row r="181" customFormat="false" ht="15" hidden="false" customHeight="false" outlineLevel="0" collapsed="false">
      <c r="A181" s="13" t="n">
        <v>45744</v>
      </c>
      <c r="B181" s="14" t="s">
        <v>35</v>
      </c>
      <c r="C181" s="15" t="n">
        <v>65.61</v>
      </c>
      <c r="D181" s="16" t="n">
        <v>4264908</v>
      </c>
    </row>
    <row r="182" customFormat="false" ht="15" hidden="false" customHeight="false" outlineLevel="0" collapsed="false">
      <c r="A182" s="13" t="n">
        <v>45747</v>
      </c>
      <c r="B182" s="14" t="s">
        <v>35</v>
      </c>
      <c r="C182" s="15" t="n">
        <v>65.07</v>
      </c>
      <c r="D182" s="16" t="n">
        <v>22037754</v>
      </c>
    </row>
    <row r="183" customFormat="false" ht="15" hidden="false" customHeight="false" outlineLevel="0" collapsed="false">
      <c r="A183" s="13" t="n">
        <v>45748</v>
      </c>
      <c r="B183" s="14" t="s">
        <v>35</v>
      </c>
      <c r="C183" s="15" t="n">
        <v>63.03</v>
      </c>
      <c r="D183" s="16" t="n">
        <v>27778642</v>
      </c>
    </row>
    <row r="184" customFormat="false" ht="15" hidden="false" customHeight="false" outlineLevel="0" collapsed="false">
      <c r="A184" s="13" t="n">
        <v>45749</v>
      </c>
      <c r="B184" s="14" t="s">
        <v>35</v>
      </c>
      <c r="C184" s="15" t="n">
        <v>62.13</v>
      </c>
      <c r="D184" s="16" t="n">
        <v>29391011</v>
      </c>
    </row>
    <row r="185" customFormat="false" ht="15" hidden="false" customHeight="false" outlineLevel="0" collapsed="false">
      <c r="A185" s="13" t="n">
        <v>45750</v>
      </c>
      <c r="B185" s="14" t="s">
        <v>35</v>
      </c>
      <c r="C185" s="15" t="n">
        <v>64.09</v>
      </c>
      <c r="D185" s="16" t="n">
        <v>47547339</v>
      </c>
    </row>
    <row r="186" customFormat="false" ht="15" hidden="false" customHeight="false" outlineLevel="0" collapsed="false">
      <c r="A186" s="13" t="n">
        <v>45751</v>
      </c>
      <c r="B186" s="14" t="s">
        <v>35</v>
      </c>
      <c r="C186" s="15" t="n">
        <v>63.7</v>
      </c>
      <c r="D186" s="16" t="n">
        <v>24263676</v>
      </c>
    </row>
    <row r="187" customFormat="false" ht="15" hidden="false" customHeight="false" outlineLevel="0" collapsed="false">
      <c r="A187" s="13" t="n">
        <v>45754</v>
      </c>
      <c r="B187" s="14" t="s">
        <v>35</v>
      </c>
      <c r="C187" s="15" t="n">
        <v>63.33</v>
      </c>
      <c r="D187" s="16" t="n">
        <v>15573458</v>
      </c>
    </row>
    <row r="188" customFormat="false" ht="15" hidden="false" customHeight="false" outlineLevel="0" collapsed="false">
      <c r="A188" s="13" t="n">
        <v>45755</v>
      </c>
      <c r="B188" s="14" t="s">
        <v>35</v>
      </c>
      <c r="C188" s="15" t="n">
        <v>63.72</v>
      </c>
      <c r="D188" s="16" t="n">
        <v>57528971</v>
      </c>
    </row>
    <row r="189" customFormat="false" ht="15" hidden="false" customHeight="false" outlineLevel="0" collapsed="false">
      <c r="A189" s="13" t="n">
        <v>45756</v>
      </c>
      <c r="B189" s="14" t="s">
        <v>35</v>
      </c>
      <c r="C189" s="15" t="n">
        <v>61.79</v>
      </c>
      <c r="D189" s="16" t="n">
        <v>48911176</v>
      </c>
    </row>
    <row r="190" customFormat="false" ht="15" hidden="false" customHeight="false" outlineLevel="0" collapsed="false">
      <c r="A190" s="13" t="n">
        <v>45757</v>
      </c>
      <c r="B190" s="14" t="s">
        <v>35</v>
      </c>
      <c r="C190" s="15" t="n">
        <v>62.91</v>
      </c>
      <c r="D190" s="16" t="n">
        <v>30264326</v>
      </c>
    </row>
    <row r="191" customFormat="false" ht="15" hidden="false" customHeight="false" outlineLevel="0" collapsed="false">
      <c r="A191" s="13" t="n">
        <v>45758</v>
      </c>
      <c r="B191" s="14" t="s">
        <v>35</v>
      </c>
      <c r="C191" s="15" t="n">
        <v>64.42</v>
      </c>
      <c r="D191" s="16" t="n">
        <v>16787803</v>
      </c>
    </row>
    <row r="192" customFormat="false" ht="15" hidden="false" customHeight="false" outlineLevel="0" collapsed="false">
      <c r="A192" s="13" t="n">
        <v>45761</v>
      </c>
      <c r="B192" s="14" t="s">
        <v>35</v>
      </c>
      <c r="C192" s="15" t="n">
        <v>64.9</v>
      </c>
      <c r="D192" s="16" t="n">
        <v>54953229</v>
      </c>
    </row>
    <row r="193" customFormat="false" ht="15" hidden="false" customHeight="false" outlineLevel="0" collapsed="false">
      <c r="A193" s="13" t="n">
        <v>45762</v>
      </c>
      <c r="B193" s="14" t="s">
        <v>35</v>
      </c>
      <c r="C193" s="15" t="n">
        <v>66.93</v>
      </c>
      <c r="D193" s="16" t="n">
        <v>22023454</v>
      </c>
    </row>
    <row r="194" customFormat="false" ht="15" hidden="false" customHeight="false" outlineLevel="0" collapsed="false">
      <c r="A194" s="13" t="n">
        <v>45763</v>
      </c>
      <c r="B194" s="14" t="s">
        <v>35</v>
      </c>
      <c r="C194" s="15" t="n">
        <v>65.27</v>
      </c>
      <c r="D194" s="16" t="n">
        <v>57294783</v>
      </c>
    </row>
    <row r="195" customFormat="false" ht="15" hidden="false" customHeight="false" outlineLevel="0" collapsed="false">
      <c r="A195" s="13" t="n">
        <v>45764</v>
      </c>
      <c r="B195" s="14" t="s">
        <v>35</v>
      </c>
      <c r="C195" s="15" t="n">
        <v>67.56</v>
      </c>
      <c r="D195" s="16" t="n">
        <v>47977874</v>
      </c>
    </row>
    <row r="196" customFormat="false" ht="15" hidden="false" customHeight="false" outlineLevel="0" collapsed="false">
      <c r="A196" s="13" t="n">
        <v>45765</v>
      </c>
      <c r="B196" s="14" t="s">
        <v>35</v>
      </c>
      <c r="C196" s="15" t="n">
        <v>66.64</v>
      </c>
      <c r="D196" s="16" t="n">
        <v>38154297</v>
      </c>
    </row>
    <row r="197" customFormat="false" ht="15" hidden="false" customHeight="false" outlineLevel="0" collapsed="false">
      <c r="A197" s="13" t="n">
        <v>45768</v>
      </c>
      <c r="B197" s="14" t="s">
        <v>35</v>
      </c>
      <c r="C197" s="15" t="n">
        <v>65.04</v>
      </c>
      <c r="D197" s="16" t="n">
        <v>30365614</v>
      </c>
    </row>
    <row r="198" customFormat="false" ht="15" hidden="false" customHeight="false" outlineLevel="0" collapsed="false">
      <c r="A198" s="13" t="n">
        <v>45769</v>
      </c>
      <c r="B198" s="14" t="s">
        <v>35</v>
      </c>
      <c r="C198" s="15" t="n">
        <v>64.76</v>
      </c>
      <c r="D198" s="16" t="n">
        <v>23159503</v>
      </c>
    </row>
    <row r="199" customFormat="false" ht="15" hidden="false" customHeight="false" outlineLevel="0" collapsed="false">
      <c r="A199" s="13" t="n">
        <v>45770</v>
      </c>
      <c r="B199" s="14" t="s">
        <v>35</v>
      </c>
      <c r="C199" s="15" t="n">
        <v>67.06</v>
      </c>
      <c r="D199" s="16" t="n">
        <v>48010676</v>
      </c>
    </row>
    <row r="200" customFormat="false" ht="15" hidden="false" customHeight="false" outlineLevel="0" collapsed="false">
      <c r="A200" s="13" t="n">
        <v>45771</v>
      </c>
      <c r="B200" s="14" t="s">
        <v>35</v>
      </c>
      <c r="C200" s="15" t="n">
        <v>67.05</v>
      </c>
      <c r="D200" s="16" t="n">
        <v>59321988</v>
      </c>
    </row>
    <row r="201" customFormat="false" ht="15" hidden="false" customHeight="false" outlineLevel="0" collapsed="false">
      <c r="A201" s="13" t="n">
        <v>45772</v>
      </c>
      <c r="B201" s="14" t="s">
        <v>35</v>
      </c>
      <c r="C201" s="15" t="n">
        <v>65.88</v>
      </c>
      <c r="D201" s="16" t="n">
        <v>52371106</v>
      </c>
    </row>
    <row r="202" customFormat="false" ht="15" hidden="false" customHeight="false" outlineLevel="0" collapsed="false">
      <c r="A202" s="13" t="n">
        <v>45775</v>
      </c>
      <c r="B202" s="14" t="s">
        <v>35</v>
      </c>
      <c r="C202" s="15" t="n">
        <v>64.28</v>
      </c>
      <c r="D202" s="16" t="n">
        <v>38327243</v>
      </c>
    </row>
    <row r="203" customFormat="false" ht="15" hidden="false" customHeight="false" outlineLevel="0" collapsed="false">
      <c r="A203" s="13" t="n">
        <v>45776</v>
      </c>
      <c r="B203" s="14" t="s">
        <v>35</v>
      </c>
      <c r="C203" s="15" t="n">
        <v>64.17</v>
      </c>
      <c r="D203" s="16" t="n">
        <v>3317336</v>
      </c>
    </row>
    <row r="204" customFormat="false" ht="15" hidden="false" customHeight="false" outlineLevel="0" collapsed="false">
      <c r="A204" s="13" t="n">
        <v>45777</v>
      </c>
      <c r="B204" s="14" t="s">
        <v>35</v>
      </c>
      <c r="C204" s="15" t="n">
        <v>61.76</v>
      </c>
      <c r="D204" s="16" t="n">
        <v>30326259</v>
      </c>
    </row>
    <row r="205" customFormat="false" ht="15" hidden="false" customHeight="false" outlineLevel="0" collapsed="false">
      <c r="A205" s="13" t="n">
        <v>45778</v>
      </c>
      <c r="B205" s="14" t="s">
        <v>35</v>
      </c>
      <c r="C205" s="15" t="n">
        <v>60.26</v>
      </c>
      <c r="D205" s="16" t="n">
        <v>3763642</v>
      </c>
    </row>
    <row r="206" customFormat="false" ht="15" hidden="false" customHeight="false" outlineLevel="0" collapsed="false">
      <c r="A206" s="13" t="n">
        <v>45779</v>
      </c>
      <c r="B206" s="14" t="s">
        <v>35</v>
      </c>
      <c r="C206" s="15" t="n">
        <v>62.03</v>
      </c>
      <c r="D206" s="16" t="n">
        <v>42244116</v>
      </c>
    </row>
    <row r="207" customFormat="false" ht="15" hidden="false" customHeight="false" outlineLevel="0" collapsed="false">
      <c r="A207" s="13" t="n">
        <v>45782</v>
      </c>
      <c r="B207" s="14" t="s">
        <v>35</v>
      </c>
      <c r="C207" s="15" t="n">
        <v>63.59</v>
      </c>
      <c r="D207" s="16" t="n">
        <v>11198499</v>
      </c>
    </row>
    <row r="208" customFormat="false" ht="15" hidden="false" customHeight="false" outlineLevel="0" collapsed="false">
      <c r="A208" s="13" t="n">
        <v>45783</v>
      </c>
      <c r="B208" s="14" t="s">
        <v>35</v>
      </c>
      <c r="C208" s="15" t="n">
        <v>63.45</v>
      </c>
      <c r="D208" s="16" t="n">
        <v>38342772</v>
      </c>
    </row>
    <row r="209" customFormat="false" ht="15" hidden="false" customHeight="false" outlineLevel="0" collapsed="false">
      <c r="A209" s="13" t="n">
        <v>45784</v>
      </c>
      <c r="B209" s="14" t="s">
        <v>35</v>
      </c>
      <c r="C209" s="15" t="n">
        <v>62.9</v>
      </c>
      <c r="D209" s="16" t="n">
        <v>45362902</v>
      </c>
    </row>
    <row r="210" customFormat="false" ht="15" hidden="false" customHeight="false" outlineLevel="0" collapsed="false">
      <c r="A210" s="13" t="n">
        <v>45785</v>
      </c>
      <c r="B210" s="14" t="s">
        <v>35</v>
      </c>
      <c r="C210" s="15" t="n">
        <v>62.98</v>
      </c>
      <c r="D210" s="16" t="n">
        <v>1197775</v>
      </c>
    </row>
    <row r="211" customFormat="false" ht="15" hidden="false" customHeight="false" outlineLevel="0" collapsed="false">
      <c r="A211" s="13" t="n">
        <v>45786</v>
      </c>
      <c r="B211" s="14" t="s">
        <v>35</v>
      </c>
      <c r="C211" s="15" t="n">
        <v>65.79</v>
      </c>
      <c r="D211" s="16" t="n">
        <v>36940920</v>
      </c>
    </row>
    <row r="212" customFormat="false" ht="15" hidden="false" customHeight="false" outlineLevel="0" collapsed="false">
      <c r="A212" s="13" t="n">
        <v>45789</v>
      </c>
      <c r="B212" s="14" t="s">
        <v>35</v>
      </c>
      <c r="C212" s="15" t="n">
        <v>66.31</v>
      </c>
      <c r="D212" s="16" t="n">
        <v>18564710</v>
      </c>
    </row>
    <row r="213" customFormat="false" ht="15" hidden="false" customHeight="false" outlineLevel="0" collapsed="false">
      <c r="A213" s="13" t="n">
        <v>45790</v>
      </c>
      <c r="B213" s="14" t="s">
        <v>35</v>
      </c>
      <c r="C213" s="15" t="n">
        <v>67.46</v>
      </c>
      <c r="D213" s="16" t="n">
        <v>57182892</v>
      </c>
    </row>
    <row r="214" customFormat="false" ht="15" hidden="false" customHeight="false" outlineLevel="0" collapsed="false">
      <c r="A214" s="13" t="n">
        <v>45791</v>
      </c>
      <c r="B214" s="14" t="s">
        <v>35</v>
      </c>
      <c r="C214" s="15" t="n">
        <v>67.22</v>
      </c>
      <c r="D214" s="16" t="n">
        <v>39887092</v>
      </c>
    </row>
    <row r="215" customFormat="false" ht="15" hidden="false" customHeight="false" outlineLevel="0" collapsed="false">
      <c r="A215" s="13" t="n">
        <v>45792</v>
      </c>
      <c r="B215" s="14" t="s">
        <v>35</v>
      </c>
      <c r="C215" s="15" t="n">
        <v>67.31</v>
      </c>
      <c r="D215" s="16" t="n">
        <v>44144233</v>
      </c>
    </row>
    <row r="216" customFormat="false" ht="15" hidden="false" customHeight="false" outlineLevel="0" collapsed="false">
      <c r="A216" s="13" t="n">
        <v>45793</v>
      </c>
      <c r="B216" s="14" t="s">
        <v>35</v>
      </c>
      <c r="C216" s="15" t="n">
        <v>68.14</v>
      </c>
      <c r="D216" s="16" t="n">
        <v>24614649</v>
      </c>
    </row>
    <row r="217" customFormat="false" ht="15" hidden="false" customHeight="false" outlineLevel="0" collapsed="false">
      <c r="A217" s="13" t="n">
        <v>45796</v>
      </c>
      <c r="B217" s="14" t="s">
        <v>35</v>
      </c>
      <c r="C217" s="15" t="n">
        <v>68.32</v>
      </c>
      <c r="D217" s="16" t="n">
        <v>46886374</v>
      </c>
    </row>
    <row r="218" customFormat="false" ht="15" hidden="false" customHeight="false" outlineLevel="0" collapsed="false">
      <c r="A218" s="13" t="n">
        <v>45797</v>
      </c>
      <c r="B218" s="14" t="s">
        <v>35</v>
      </c>
      <c r="C218" s="15" t="n">
        <v>65.88</v>
      </c>
      <c r="D218" s="16" t="n">
        <v>50633677</v>
      </c>
    </row>
    <row r="219" customFormat="false" ht="15" hidden="false" customHeight="false" outlineLevel="0" collapsed="false">
      <c r="A219" s="13" t="n">
        <v>45798</v>
      </c>
      <c r="B219" s="14" t="s">
        <v>35</v>
      </c>
      <c r="C219" s="15" t="n">
        <v>67.49</v>
      </c>
      <c r="D219" s="16" t="n">
        <v>12398366</v>
      </c>
    </row>
    <row r="220" customFormat="false" ht="15" hidden="false" customHeight="false" outlineLevel="0" collapsed="false">
      <c r="A220" s="13" t="n">
        <v>45799</v>
      </c>
      <c r="B220" s="14" t="s">
        <v>35</v>
      </c>
      <c r="C220" s="15" t="n">
        <v>66.72</v>
      </c>
      <c r="D220" s="16" t="n">
        <v>39638201</v>
      </c>
    </row>
    <row r="221" customFormat="false" ht="15" hidden="false" customHeight="false" outlineLevel="0" collapsed="false">
      <c r="A221" s="13" t="n">
        <v>45800</v>
      </c>
      <c r="B221" s="14" t="s">
        <v>35</v>
      </c>
      <c r="C221" s="15" t="n">
        <v>69.4</v>
      </c>
      <c r="D221" s="16" t="n">
        <v>18310852</v>
      </c>
    </row>
    <row r="222" customFormat="false" ht="15" hidden="false" customHeight="false" outlineLevel="0" collapsed="false">
      <c r="A222" s="13" t="n">
        <v>45803</v>
      </c>
      <c r="B222" s="14" t="s">
        <v>35</v>
      </c>
      <c r="C222" s="15" t="n">
        <v>70.31</v>
      </c>
      <c r="D222" s="16" t="n">
        <v>12426978</v>
      </c>
    </row>
    <row r="223" customFormat="false" ht="15" hidden="false" customHeight="false" outlineLevel="0" collapsed="false">
      <c r="A223" s="13" t="n">
        <v>45804</v>
      </c>
      <c r="B223" s="14" t="s">
        <v>35</v>
      </c>
      <c r="C223" s="15" t="n">
        <v>70.42</v>
      </c>
      <c r="D223" s="16" t="n">
        <v>55564054</v>
      </c>
    </row>
    <row r="224" customFormat="false" ht="15" hidden="false" customHeight="false" outlineLevel="0" collapsed="false">
      <c r="A224" s="13" t="n">
        <v>45805</v>
      </c>
      <c r="B224" s="14" t="s">
        <v>35</v>
      </c>
      <c r="C224" s="15" t="n">
        <v>71.02</v>
      </c>
      <c r="D224" s="16" t="n">
        <v>31773482</v>
      </c>
    </row>
    <row r="225" customFormat="false" ht="15" hidden="false" customHeight="false" outlineLevel="0" collapsed="false">
      <c r="A225" s="13" t="n">
        <v>45806</v>
      </c>
      <c r="B225" s="14" t="s">
        <v>35</v>
      </c>
      <c r="C225" s="15" t="n">
        <v>70.89</v>
      </c>
      <c r="D225" s="16" t="n">
        <v>12624266</v>
      </c>
    </row>
    <row r="226" customFormat="false" ht="15" hidden="false" customHeight="false" outlineLevel="0" collapsed="false">
      <c r="A226" s="13" t="n">
        <v>45807</v>
      </c>
      <c r="B226" s="14" t="s">
        <v>35</v>
      </c>
      <c r="C226" s="15" t="n">
        <v>70.25</v>
      </c>
      <c r="D226" s="16" t="n">
        <v>34036945</v>
      </c>
    </row>
    <row r="227" customFormat="false" ht="15" hidden="false" customHeight="false" outlineLevel="0" collapsed="false">
      <c r="A227" s="13" t="n">
        <v>45810</v>
      </c>
      <c r="B227" s="14" t="s">
        <v>35</v>
      </c>
      <c r="C227" s="15" t="n">
        <v>70.54</v>
      </c>
      <c r="D227" s="16" t="n">
        <v>11164811</v>
      </c>
    </row>
    <row r="228" customFormat="false" ht="15" hidden="false" customHeight="false" outlineLevel="0" collapsed="false">
      <c r="A228" s="13" t="n">
        <v>45811</v>
      </c>
      <c r="B228" s="14" t="s">
        <v>35</v>
      </c>
      <c r="C228" s="15" t="n">
        <v>71.73</v>
      </c>
      <c r="D228" s="16" t="n">
        <v>3276360</v>
      </c>
    </row>
    <row r="229" customFormat="false" ht="15" hidden="false" customHeight="false" outlineLevel="0" collapsed="false">
      <c r="A229" s="13" t="n">
        <v>45812</v>
      </c>
      <c r="B229" s="14" t="s">
        <v>35</v>
      </c>
      <c r="C229" s="15" t="n">
        <v>71.12</v>
      </c>
      <c r="D229" s="16" t="n">
        <v>50437769</v>
      </c>
    </row>
    <row r="230" customFormat="false" ht="15" hidden="false" customHeight="false" outlineLevel="0" collapsed="false">
      <c r="A230" s="13" t="n">
        <v>45813</v>
      </c>
      <c r="B230" s="14" t="s">
        <v>35</v>
      </c>
      <c r="C230" s="15" t="n">
        <v>70.29</v>
      </c>
      <c r="D230" s="16" t="n">
        <v>38962681</v>
      </c>
    </row>
    <row r="231" customFormat="false" ht="15" hidden="false" customHeight="false" outlineLevel="0" collapsed="false">
      <c r="A231" s="13" t="n">
        <v>45814</v>
      </c>
      <c r="B231" s="14" t="s">
        <v>35</v>
      </c>
      <c r="C231" s="15" t="n">
        <v>69.84</v>
      </c>
      <c r="D231" s="16" t="n">
        <v>38980651</v>
      </c>
    </row>
    <row r="232" customFormat="false" ht="15" hidden="false" customHeight="false" outlineLevel="0" collapsed="false">
      <c r="A232" s="13" t="n">
        <v>45817</v>
      </c>
      <c r="B232" s="14" t="s">
        <v>35</v>
      </c>
      <c r="C232" s="15" t="n">
        <v>71.11</v>
      </c>
      <c r="D232" s="16" t="n">
        <v>33185232</v>
      </c>
    </row>
    <row r="233" customFormat="false" ht="15" hidden="false" customHeight="false" outlineLevel="0" collapsed="false">
      <c r="A233" s="13" t="n">
        <v>45818</v>
      </c>
      <c r="B233" s="14" t="s">
        <v>35</v>
      </c>
      <c r="C233" s="15" t="n">
        <v>73.07</v>
      </c>
      <c r="D233" s="16" t="n">
        <v>32665404</v>
      </c>
    </row>
    <row r="234" customFormat="false" ht="15" hidden="false" customHeight="false" outlineLevel="0" collapsed="false">
      <c r="A234" s="13" t="n">
        <v>45819</v>
      </c>
      <c r="B234" s="14" t="s">
        <v>35</v>
      </c>
      <c r="C234" s="15" t="n">
        <v>73.59</v>
      </c>
      <c r="D234" s="16" t="n">
        <v>45477669</v>
      </c>
    </row>
    <row r="235" customFormat="false" ht="15" hidden="false" customHeight="false" outlineLevel="0" collapsed="false">
      <c r="A235" s="13" t="n">
        <v>45820</v>
      </c>
      <c r="B235" s="14" t="s">
        <v>35</v>
      </c>
      <c r="C235" s="15" t="n">
        <v>74.41</v>
      </c>
      <c r="D235" s="16" t="n">
        <v>26691654</v>
      </c>
    </row>
    <row r="236" customFormat="false" ht="15" hidden="false" customHeight="false" outlineLevel="0" collapsed="false">
      <c r="A236" s="13" t="n">
        <v>45821</v>
      </c>
      <c r="B236" s="14" t="s">
        <v>35</v>
      </c>
      <c r="C236" s="15" t="n">
        <v>73.54</v>
      </c>
      <c r="D236" s="16" t="n">
        <v>19109613</v>
      </c>
    </row>
    <row r="237" customFormat="false" ht="15" hidden="false" customHeight="false" outlineLevel="0" collapsed="false">
      <c r="A237" s="13" t="n">
        <v>45824</v>
      </c>
      <c r="B237" s="14" t="s">
        <v>35</v>
      </c>
      <c r="C237" s="15" t="n">
        <v>74.77</v>
      </c>
      <c r="D237" s="16" t="n">
        <v>58849484</v>
      </c>
    </row>
    <row r="238" customFormat="false" ht="15" hidden="false" customHeight="false" outlineLevel="0" collapsed="false">
      <c r="A238" s="13" t="n">
        <v>45825</v>
      </c>
      <c r="B238" s="14" t="s">
        <v>35</v>
      </c>
      <c r="C238" s="15" t="n">
        <v>75.57</v>
      </c>
      <c r="D238" s="16" t="n">
        <v>17434343</v>
      </c>
    </row>
    <row r="239" customFormat="false" ht="15" hidden="false" customHeight="false" outlineLevel="0" collapsed="false">
      <c r="A239" s="13" t="n">
        <v>45826</v>
      </c>
      <c r="B239" s="14" t="s">
        <v>35</v>
      </c>
      <c r="C239" s="15" t="n">
        <v>74.57</v>
      </c>
      <c r="D239" s="16" t="n">
        <v>45079273</v>
      </c>
    </row>
    <row r="240" customFormat="false" ht="15" hidden="false" customHeight="false" outlineLevel="0" collapsed="false">
      <c r="A240" s="13" t="n">
        <v>45827</v>
      </c>
      <c r="B240" s="14" t="s">
        <v>35</v>
      </c>
      <c r="C240" s="15" t="n">
        <v>72.06</v>
      </c>
      <c r="D240" s="16" t="n">
        <v>26884040</v>
      </c>
    </row>
    <row r="241" customFormat="false" ht="15" hidden="false" customHeight="false" outlineLevel="0" collapsed="false">
      <c r="A241" s="13" t="n">
        <v>45828</v>
      </c>
      <c r="B241" s="14" t="s">
        <v>35</v>
      </c>
      <c r="C241" s="15" t="n">
        <v>70.41</v>
      </c>
      <c r="D241" s="16" t="n">
        <v>41201137</v>
      </c>
    </row>
    <row r="242" customFormat="false" ht="15" hidden="false" customHeight="false" outlineLevel="0" collapsed="false">
      <c r="A242" s="13" t="n">
        <v>45719</v>
      </c>
      <c r="B242" s="14" t="s">
        <v>39</v>
      </c>
      <c r="C242" s="15" t="n">
        <v>105</v>
      </c>
      <c r="D242" s="16" t="n">
        <v>31413513</v>
      </c>
    </row>
    <row r="243" customFormat="false" ht="15" hidden="false" customHeight="false" outlineLevel="0" collapsed="false">
      <c r="A243" s="13" t="n">
        <v>45720</v>
      </c>
      <c r="B243" s="14" t="s">
        <v>39</v>
      </c>
      <c r="C243" s="15" t="n">
        <v>105.17</v>
      </c>
      <c r="D243" s="16" t="n">
        <v>26329097</v>
      </c>
    </row>
    <row r="244" customFormat="false" ht="15" hidden="false" customHeight="false" outlineLevel="0" collapsed="false">
      <c r="A244" s="13" t="n">
        <v>45721</v>
      </c>
      <c r="B244" s="14" t="s">
        <v>39</v>
      </c>
      <c r="C244" s="15" t="n">
        <v>107.22</v>
      </c>
      <c r="D244" s="16" t="n">
        <v>13243026</v>
      </c>
    </row>
    <row r="245" customFormat="false" ht="15" hidden="false" customHeight="false" outlineLevel="0" collapsed="false">
      <c r="A245" s="13" t="n">
        <v>45722</v>
      </c>
      <c r="B245" s="14" t="s">
        <v>39</v>
      </c>
      <c r="C245" s="15" t="n">
        <v>107.7</v>
      </c>
      <c r="D245" s="16" t="n">
        <v>56719056</v>
      </c>
    </row>
    <row r="246" customFormat="false" ht="15" hidden="false" customHeight="false" outlineLevel="0" collapsed="false">
      <c r="A246" s="13" t="n">
        <v>45723</v>
      </c>
      <c r="B246" s="14" t="s">
        <v>39</v>
      </c>
      <c r="C246" s="15" t="n">
        <v>107.1</v>
      </c>
      <c r="D246" s="16" t="n">
        <v>29818516</v>
      </c>
    </row>
    <row r="247" customFormat="false" ht="15" hidden="false" customHeight="false" outlineLevel="0" collapsed="false">
      <c r="A247" s="13" t="n">
        <v>45726</v>
      </c>
      <c r="B247" s="14" t="s">
        <v>39</v>
      </c>
      <c r="C247" s="15" t="n">
        <v>108.01</v>
      </c>
      <c r="D247" s="16" t="n">
        <v>57024141</v>
      </c>
    </row>
    <row r="248" customFormat="false" ht="15" hidden="false" customHeight="false" outlineLevel="0" collapsed="false">
      <c r="A248" s="13" t="n">
        <v>45727</v>
      </c>
      <c r="B248" s="14" t="s">
        <v>39</v>
      </c>
      <c r="C248" s="15" t="n">
        <v>108.4</v>
      </c>
      <c r="D248" s="16" t="n">
        <v>9247752</v>
      </c>
    </row>
    <row r="249" customFormat="false" ht="15" hidden="false" customHeight="false" outlineLevel="0" collapsed="false">
      <c r="A249" s="13" t="n">
        <v>45728</v>
      </c>
      <c r="B249" s="14" t="s">
        <v>39</v>
      </c>
      <c r="C249" s="15" t="n">
        <v>110.05</v>
      </c>
      <c r="D249" s="16" t="n">
        <v>18864557</v>
      </c>
    </row>
    <row r="250" customFormat="false" ht="15" hidden="false" customHeight="false" outlineLevel="0" collapsed="false">
      <c r="A250" s="13" t="n">
        <v>45729</v>
      </c>
      <c r="B250" s="14" t="s">
        <v>39</v>
      </c>
      <c r="C250" s="15" t="n">
        <v>112.73</v>
      </c>
      <c r="D250" s="16" t="n">
        <v>7195200</v>
      </c>
    </row>
    <row r="251" customFormat="false" ht="15" hidden="false" customHeight="false" outlineLevel="0" collapsed="false">
      <c r="A251" s="13" t="n">
        <v>45730</v>
      </c>
      <c r="B251" s="14" t="s">
        <v>39</v>
      </c>
      <c r="C251" s="15" t="n">
        <v>110.79</v>
      </c>
      <c r="D251" s="16" t="n">
        <v>4977266</v>
      </c>
    </row>
    <row r="252" customFormat="false" ht="15" hidden="false" customHeight="false" outlineLevel="0" collapsed="false">
      <c r="A252" s="13" t="n">
        <v>45733</v>
      </c>
      <c r="B252" s="14" t="s">
        <v>39</v>
      </c>
      <c r="C252" s="15" t="n">
        <v>106.07</v>
      </c>
      <c r="D252" s="16" t="n">
        <v>40113388</v>
      </c>
    </row>
    <row r="253" customFormat="false" ht="15" hidden="false" customHeight="false" outlineLevel="0" collapsed="false">
      <c r="A253" s="13" t="n">
        <v>45734</v>
      </c>
      <c r="B253" s="14" t="s">
        <v>39</v>
      </c>
      <c r="C253" s="15" t="n">
        <v>105.4</v>
      </c>
      <c r="D253" s="16" t="n">
        <v>54363404</v>
      </c>
    </row>
    <row r="254" customFormat="false" ht="15" hidden="false" customHeight="false" outlineLevel="0" collapsed="false">
      <c r="A254" s="13" t="n">
        <v>45735</v>
      </c>
      <c r="B254" s="14" t="s">
        <v>39</v>
      </c>
      <c r="C254" s="15" t="n">
        <v>103.46</v>
      </c>
      <c r="D254" s="16" t="n">
        <v>18620739</v>
      </c>
    </row>
    <row r="255" customFormat="false" ht="15" hidden="false" customHeight="false" outlineLevel="0" collapsed="false">
      <c r="A255" s="13" t="n">
        <v>45736</v>
      </c>
      <c r="B255" s="14" t="s">
        <v>39</v>
      </c>
      <c r="C255" s="15" t="n">
        <v>105.05</v>
      </c>
      <c r="D255" s="16" t="n">
        <v>43489277</v>
      </c>
    </row>
    <row r="256" customFormat="false" ht="15" hidden="false" customHeight="false" outlineLevel="0" collapsed="false">
      <c r="A256" s="13" t="n">
        <v>45737</v>
      </c>
      <c r="B256" s="14" t="s">
        <v>39</v>
      </c>
      <c r="C256" s="15" t="n">
        <v>103.67</v>
      </c>
      <c r="D256" s="16" t="n">
        <v>14832640</v>
      </c>
    </row>
    <row r="257" customFormat="false" ht="15" hidden="false" customHeight="false" outlineLevel="0" collapsed="false">
      <c r="A257" s="13" t="n">
        <v>45740</v>
      </c>
      <c r="B257" s="14" t="s">
        <v>39</v>
      </c>
      <c r="C257" s="15" t="n">
        <v>100.14</v>
      </c>
      <c r="D257" s="16" t="n">
        <v>31061031</v>
      </c>
    </row>
    <row r="258" customFormat="false" ht="15" hidden="false" customHeight="false" outlineLevel="0" collapsed="false">
      <c r="A258" s="13" t="n">
        <v>45741</v>
      </c>
      <c r="B258" s="14" t="s">
        <v>39</v>
      </c>
      <c r="C258" s="15" t="n">
        <v>99.1</v>
      </c>
      <c r="D258" s="16" t="n">
        <v>38594911</v>
      </c>
    </row>
    <row r="259" customFormat="false" ht="15" hidden="false" customHeight="false" outlineLevel="0" collapsed="false">
      <c r="A259" s="13" t="n">
        <v>45742</v>
      </c>
      <c r="B259" s="14" t="s">
        <v>39</v>
      </c>
      <c r="C259" s="15" t="n">
        <v>96.42</v>
      </c>
      <c r="D259" s="16" t="n">
        <v>1092193</v>
      </c>
    </row>
    <row r="260" customFormat="false" ht="15" hidden="false" customHeight="false" outlineLevel="0" collapsed="false">
      <c r="A260" s="13" t="n">
        <v>45743</v>
      </c>
      <c r="B260" s="14" t="s">
        <v>39</v>
      </c>
      <c r="C260" s="15" t="n">
        <v>99.23</v>
      </c>
      <c r="D260" s="16" t="n">
        <v>14088862</v>
      </c>
    </row>
    <row r="261" customFormat="false" ht="15" hidden="false" customHeight="false" outlineLevel="0" collapsed="false">
      <c r="A261" s="13" t="n">
        <v>45744</v>
      </c>
      <c r="B261" s="14" t="s">
        <v>39</v>
      </c>
      <c r="C261" s="15" t="n">
        <v>100.1</v>
      </c>
      <c r="D261" s="16" t="n">
        <v>18964103</v>
      </c>
    </row>
    <row r="262" customFormat="false" ht="15" hidden="false" customHeight="false" outlineLevel="0" collapsed="false">
      <c r="A262" s="13" t="n">
        <v>45747</v>
      </c>
      <c r="B262" s="14" t="s">
        <v>39</v>
      </c>
      <c r="C262" s="15" t="n">
        <v>101.3</v>
      </c>
      <c r="D262" s="16" t="n">
        <v>29173862</v>
      </c>
    </row>
    <row r="263" customFormat="false" ht="15" hidden="false" customHeight="false" outlineLevel="0" collapsed="false">
      <c r="A263" s="13" t="n">
        <v>45748</v>
      </c>
      <c r="B263" s="14" t="s">
        <v>39</v>
      </c>
      <c r="C263" s="15" t="n">
        <v>102.31</v>
      </c>
      <c r="D263" s="16" t="n">
        <v>21112033</v>
      </c>
    </row>
    <row r="264" customFormat="false" ht="15" hidden="false" customHeight="false" outlineLevel="0" collapsed="false">
      <c r="A264" s="13" t="n">
        <v>45749</v>
      </c>
      <c r="B264" s="14" t="s">
        <v>39</v>
      </c>
      <c r="C264" s="15" t="n">
        <v>103.9</v>
      </c>
      <c r="D264" s="16" t="n">
        <v>33043445</v>
      </c>
    </row>
    <row r="265" customFormat="false" ht="15" hidden="false" customHeight="false" outlineLevel="0" collapsed="false">
      <c r="A265" s="13" t="n">
        <v>45750</v>
      </c>
      <c r="B265" s="14" t="s">
        <v>39</v>
      </c>
      <c r="C265" s="15" t="n">
        <v>106.07</v>
      </c>
      <c r="D265" s="16" t="n">
        <v>29747893</v>
      </c>
    </row>
    <row r="266" customFormat="false" ht="15" hidden="false" customHeight="false" outlineLevel="0" collapsed="false">
      <c r="A266" s="13" t="n">
        <v>45751</v>
      </c>
      <c r="B266" s="14" t="s">
        <v>39</v>
      </c>
      <c r="C266" s="15" t="n">
        <v>105.04</v>
      </c>
      <c r="D266" s="16" t="n">
        <v>14943554</v>
      </c>
    </row>
    <row r="267" customFormat="false" ht="15" hidden="false" customHeight="false" outlineLevel="0" collapsed="false">
      <c r="A267" s="13" t="n">
        <v>45754</v>
      </c>
      <c r="B267" s="14" t="s">
        <v>39</v>
      </c>
      <c r="C267" s="15" t="n">
        <v>102.33</v>
      </c>
      <c r="D267" s="16" t="n">
        <v>20492730</v>
      </c>
    </row>
    <row r="268" customFormat="false" ht="15" hidden="false" customHeight="false" outlineLevel="0" collapsed="false">
      <c r="A268" s="13" t="n">
        <v>45755</v>
      </c>
      <c r="B268" s="14" t="s">
        <v>39</v>
      </c>
      <c r="C268" s="15" t="n">
        <v>100.76</v>
      </c>
      <c r="D268" s="16" t="n">
        <v>47824753</v>
      </c>
    </row>
    <row r="269" customFormat="false" ht="15" hidden="false" customHeight="false" outlineLevel="0" collapsed="false">
      <c r="A269" s="13" t="n">
        <v>45756</v>
      </c>
      <c r="B269" s="14" t="s">
        <v>39</v>
      </c>
      <c r="C269" s="15" t="n">
        <v>100.7</v>
      </c>
      <c r="D269" s="16" t="n">
        <v>37213003</v>
      </c>
    </row>
    <row r="270" customFormat="false" ht="15" hidden="false" customHeight="false" outlineLevel="0" collapsed="false">
      <c r="A270" s="13" t="n">
        <v>45757</v>
      </c>
      <c r="B270" s="14" t="s">
        <v>39</v>
      </c>
      <c r="C270" s="15" t="n">
        <v>95.99</v>
      </c>
      <c r="D270" s="16" t="n">
        <v>17689088</v>
      </c>
    </row>
    <row r="271" customFormat="false" ht="15" hidden="false" customHeight="false" outlineLevel="0" collapsed="false">
      <c r="A271" s="13" t="n">
        <v>45758</v>
      </c>
      <c r="B271" s="14" t="s">
        <v>39</v>
      </c>
      <c r="C271" s="15" t="n">
        <v>98.01</v>
      </c>
      <c r="D271" s="16" t="n">
        <v>22611573</v>
      </c>
    </row>
    <row r="272" customFormat="false" ht="15" hidden="false" customHeight="false" outlineLevel="0" collapsed="false">
      <c r="A272" s="13" t="n">
        <v>45761</v>
      </c>
      <c r="B272" s="14" t="s">
        <v>39</v>
      </c>
      <c r="C272" s="15" t="n">
        <v>94.63</v>
      </c>
      <c r="D272" s="16" t="n">
        <v>45166109</v>
      </c>
    </row>
    <row r="273" customFormat="false" ht="15" hidden="false" customHeight="false" outlineLevel="0" collapsed="false">
      <c r="A273" s="13" t="n">
        <v>45762</v>
      </c>
      <c r="B273" s="14" t="s">
        <v>39</v>
      </c>
      <c r="C273" s="15" t="n">
        <v>95.68</v>
      </c>
      <c r="D273" s="16" t="n">
        <v>8102173</v>
      </c>
    </row>
    <row r="274" customFormat="false" ht="15" hidden="false" customHeight="false" outlineLevel="0" collapsed="false">
      <c r="A274" s="13" t="n">
        <v>45763</v>
      </c>
      <c r="B274" s="14" t="s">
        <v>39</v>
      </c>
      <c r="C274" s="15" t="n">
        <v>95.41</v>
      </c>
      <c r="D274" s="16" t="n">
        <v>46388538</v>
      </c>
    </row>
    <row r="275" customFormat="false" ht="15" hidden="false" customHeight="false" outlineLevel="0" collapsed="false">
      <c r="A275" s="13" t="n">
        <v>45764</v>
      </c>
      <c r="B275" s="14" t="s">
        <v>39</v>
      </c>
      <c r="C275" s="15" t="n">
        <v>95.92</v>
      </c>
      <c r="D275" s="16" t="n">
        <v>56224120</v>
      </c>
    </row>
    <row r="276" customFormat="false" ht="15" hidden="false" customHeight="false" outlineLevel="0" collapsed="false">
      <c r="A276" s="13" t="n">
        <v>45765</v>
      </c>
      <c r="B276" s="14" t="s">
        <v>39</v>
      </c>
      <c r="C276" s="15" t="n">
        <v>95.11</v>
      </c>
      <c r="D276" s="16" t="n">
        <v>51813328</v>
      </c>
    </row>
    <row r="277" customFormat="false" ht="15" hidden="false" customHeight="false" outlineLevel="0" collapsed="false">
      <c r="A277" s="13" t="n">
        <v>45768</v>
      </c>
      <c r="B277" s="14" t="s">
        <v>39</v>
      </c>
      <c r="C277" s="15" t="n">
        <v>95.5</v>
      </c>
      <c r="D277" s="16" t="n">
        <v>39720111</v>
      </c>
    </row>
    <row r="278" customFormat="false" ht="15" hidden="false" customHeight="false" outlineLevel="0" collapsed="false">
      <c r="A278" s="13" t="n">
        <v>45769</v>
      </c>
      <c r="B278" s="14" t="s">
        <v>39</v>
      </c>
      <c r="C278" s="15" t="n">
        <v>94.69</v>
      </c>
      <c r="D278" s="16" t="n">
        <v>49515838</v>
      </c>
    </row>
    <row r="279" customFormat="false" ht="15" hidden="false" customHeight="false" outlineLevel="0" collapsed="false">
      <c r="A279" s="13" t="n">
        <v>45770</v>
      </c>
      <c r="B279" s="14" t="s">
        <v>39</v>
      </c>
      <c r="C279" s="15" t="n">
        <v>93.74</v>
      </c>
      <c r="D279" s="16" t="n">
        <v>57511790</v>
      </c>
    </row>
    <row r="280" customFormat="false" ht="15" hidden="false" customHeight="false" outlineLevel="0" collapsed="false">
      <c r="A280" s="13" t="n">
        <v>45771</v>
      </c>
      <c r="B280" s="14" t="s">
        <v>39</v>
      </c>
      <c r="C280" s="15" t="n">
        <v>92.22</v>
      </c>
      <c r="D280" s="16" t="n">
        <v>23064334</v>
      </c>
    </row>
    <row r="281" customFormat="false" ht="15" hidden="false" customHeight="false" outlineLevel="0" collapsed="false">
      <c r="A281" s="13" t="n">
        <v>45772</v>
      </c>
      <c r="B281" s="14" t="s">
        <v>39</v>
      </c>
      <c r="C281" s="15" t="n">
        <v>94.81</v>
      </c>
      <c r="D281" s="16" t="n">
        <v>15681316</v>
      </c>
    </row>
    <row r="282" customFormat="false" ht="15" hidden="false" customHeight="false" outlineLevel="0" collapsed="false">
      <c r="A282" s="13" t="n">
        <v>45775</v>
      </c>
      <c r="B282" s="14" t="s">
        <v>39</v>
      </c>
      <c r="C282" s="15" t="n">
        <v>95.46</v>
      </c>
      <c r="D282" s="16" t="n">
        <v>47963540</v>
      </c>
    </row>
    <row r="283" customFormat="false" ht="15" hidden="false" customHeight="false" outlineLevel="0" collapsed="false">
      <c r="A283" s="13" t="n">
        <v>45776</v>
      </c>
      <c r="B283" s="14" t="s">
        <v>39</v>
      </c>
      <c r="C283" s="15" t="n">
        <v>95.84</v>
      </c>
      <c r="D283" s="16" t="n">
        <v>5100673</v>
      </c>
    </row>
    <row r="284" customFormat="false" ht="15" hidden="false" customHeight="false" outlineLevel="0" collapsed="false">
      <c r="A284" s="13" t="n">
        <v>45777</v>
      </c>
      <c r="B284" s="14" t="s">
        <v>39</v>
      </c>
      <c r="C284" s="15" t="n">
        <v>94.32</v>
      </c>
      <c r="D284" s="16" t="n">
        <v>36088458</v>
      </c>
    </row>
    <row r="285" customFormat="false" ht="15" hidden="false" customHeight="false" outlineLevel="0" collapsed="false">
      <c r="A285" s="13" t="n">
        <v>45778</v>
      </c>
      <c r="B285" s="14" t="s">
        <v>39</v>
      </c>
      <c r="C285" s="15" t="n">
        <v>93.93</v>
      </c>
      <c r="D285" s="16" t="n">
        <v>43258866</v>
      </c>
    </row>
    <row r="286" customFormat="false" ht="15" hidden="false" customHeight="false" outlineLevel="0" collapsed="false">
      <c r="A286" s="13" t="n">
        <v>45779</v>
      </c>
      <c r="B286" s="14" t="s">
        <v>39</v>
      </c>
      <c r="C286" s="15" t="n">
        <v>92.25</v>
      </c>
      <c r="D286" s="16" t="n">
        <v>54799014</v>
      </c>
    </row>
    <row r="287" customFormat="false" ht="15" hidden="false" customHeight="false" outlineLevel="0" collapsed="false">
      <c r="A287" s="13" t="n">
        <v>45782</v>
      </c>
      <c r="B287" s="14" t="s">
        <v>39</v>
      </c>
      <c r="C287" s="15" t="n">
        <v>91.44</v>
      </c>
      <c r="D287" s="16" t="n">
        <v>49840101</v>
      </c>
    </row>
    <row r="288" customFormat="false" ht="15" hidden="false" customHeight="false" outlineLevel="0" collapsed="false">
      <c r="A288" s="13" t="n">
        <v>45783</v>
      </c>
      <c r="B288" s="14" t="s">
        <v>39</v>
      </c>
      <c r="C288" s="15" t="n">
        <v>89.43</v>
      </c>
      <c r="D288" s="16" t="n">
        <v>34881791</v>
      </c>
    </row>
    <row r="289" customFormat="false" ht="15" hidden="false" customHeight="false" outlineLevel="0" collapsed="false">
      <c r="A289" s="13" t="n">
        <v>45784</v>
      </c>
      <c r="B289" s="14" t="s">
        <v>39</v>
      </c>
      <c r="C289" s="15" t="n">
        <v>92.04</v>
      </c>
      <c r="D289" s="16" t="n">
        <v>51305761</v>
      </c>
    </row>
    <row r="290" customFormat="false" ht="15" hidden="false" customHeight="false" outlineLevel="0" collapsed="false">
      <c r="A290" s="13" t="n">
        <v>45785</v>
      </c>
      <c r="B290" s="14" t="s">
        <v>39</v>
      </c>
      <c r="C290" s="15" t="n">
        <v>90.79</v>
      </c>
      <c r="D290" s="16" t="n">
        <v>30367077</v>
      </c>
    </row>
    <row r="291" customFormat="false" ht="15" hidden="false" customHeight="false" outlineLevel="0" collapsed="false">
      <c r="A291" s="13" t="n">
        <v>45786</v>
      </c>
      <c r="B291" s="14" t="s">
        <v>39</v>
      </c>
      <c r="C291" s="15" t="n">
        <v>89.35</v>
      </c>
      <c r="D291" s="16" t="n">
        <v>51649185</v>
      </c>
    </row>
    <row r="292" customFormat="false" ht="15" hidden="false" customHeight="false" outlineLevel="0" collapsed="false">
      <c r="A292" s="13" t="n">
        <v>45789</v>
      </c>
      <c r="B292" s="14" t="s">
        <v>39</v>
      </c>
      <c r="C292" s="15" t="n">
        <v>87.2</v>
      </c>
      <c r="D292" s="16" t="n">
        <v>51011985</v>
      </c>
    </row>
    <row r="293" customFormat="false" ht="15" hidden="false" customHeight="false" outlineLevel="0" collapsed="false">
      <c r="A293" s="13" t="n">
        <v>45790</v>
      </c>
      <c r="B293" s="14" t="s">
        <v>39</v>
      </c>
      <c r="C293" s="15" t="n">
        <v>85.98</v>
      </c>
      <c r="D293" s="16" t="n">
        <v>7953757</v>
      </c>
    </row>
    <row r="294" customFormat="false" ht="15" hidden="false" customHeight="false" outlineLevel="0" collapsed="false">
      <c r="A294" s="13" t="n">
        <v>45791</v>
      </c>
      <c r="B294" s="14" t="s">
        <v>39</v>
      </c>
      <c r="C294" s="15" t="n">
        <v>85.22</v>
      </c>
      <c r="D294" s="16" t="n">
        <v>35104654</v>
      </c>
    </row>
    <row r="295" customFormat="false" ht="15" hidden="false" customHeight="false" outlineLevel="0" collapsed="false">
      <c r="A295" s="13" t="n">
        <v>45792</v>
      </c>
      <c r="B295" s="14" t="s">
        <v>39</v>
      </c>
      <c r="C295" s="15" t="n">
        <v>85.16</v>
      </c>
      <c r="D295" s="16" t="n">
        <v>56306674</v>
      </c>
    </row>
    <row r="296" customFormat="false" ht="15" hidden="false" customHeight="false" outlineLevel="0" collapsed="false">
      <c r="A296" s="13" t="n">
        <v>45793</v>
      </c>
      <c r="B296" s="14" t="s">
        <v>39</v>
      </c>
      <c r="C296" s="15" t="n">
        <v>84.17</v>
      </c>
      <c r="D296" s="16" t="n">
        <v>59126782</v>
      </c>
    </row>
    <row r="297" customFormat="false" ht="15" hidden="false" customHeight="false" outlineLevel="0" collapsed="false">
      <c r="A297" s="13" t="n">
        <v>45796</v>
      </c>
      <c r="B297" s="14" t="s">
        <v>39</v>
      </c>
      <c r="C297" s="15" t="n">
        <v>81.72</v>
      </c>
      <c r="D297" s="16" t="n">
        <v>33843745</v>
      </c>
    </row>
    <row r="298" customFormat="false" ht="15" hidden="false" customHeight="false" outlineLevel="0" collapsed="false">
      <c r="A298" s="13" t="n">
        <v>45797</v>
      </c>
      <c r="B298" s="14" t="s">
        <v>39</v>
      </c>
      <c r="C298" s="15" t="n">
        <v>79.47</v>
      </c>
      <c r="D298" s="16" t="n">
        <v>20350835</v>
      </c>
    </row>
    <row r="299" customFormat="false" ht="15" hidden="false" customHeight="false" outlineLevel="0" collapsed="false">
      <c r="A299" s="13" t="n">
        <v>45798</v>
      </c>
      <c r="B299" s="14" t="s">
        <v>39</v>
      </c>
      <c r="C299" s="15" t="n">
        <v>80.47</v>
      </c>
      <c r="D299" s="16" t="n">
        <v>3453752</v>
      </c>
    </row>
    <row r="300" customFormat="false" ht="15" hidden="false" customHeight="false" outlineLevel="0" collapsed="false">
      <c r="A300" s="13" t="n">
        <v>45799</v>
      </c>
      <c r="B300" s="14" t="s">
        <v>39</v>
      </c>
      <c r="C300" s="15" t="n">
        <v>80.3</v>
      </c>
      <c r="D300" s="16" t="n">
        <v>58597408</v>
      </c>
    </row>
    <row r="301" customFormat="false" ht="15" hidden="false" customHeight="false" outlineLevel="0" collapsed="false">
      <c r="A301" s="13" t="n">
        <v>45800</v>
      </c>
      <c r="B301" s="14" t="s">
        <v>39</v>
      </c>
      <c r="C301" s="15" t="n">
        <v>81.27</v>
      </c>
      <c r="D301" s="16" t="n">
        <v>11320855</v>
      </c>
    </row>
    <row r="302" customFormat="false" ht="15" hidden="false" customHeight="false" outlineLevel="0" collapsed="false">
      <c r="A302" s="13" t="n">
        <v>45803</v>
      </c>
      <c r="B302" s="14" t="s">
        <v>39</v>
      </c>
      <c r="C302" s="15" t="n">
        <v>82.44</v>
      </c>
      <c r="D302" s="16" t="n">
        <v>19130254</v>
      </c>
    </row>
    <row r="303" customFormat="false" ht="15" hidden="false" customHeight="false" outlineLevel="0" collapsed="false">
      <c r="A303" s="13" t="n">
        <v>45804</v>
      </c>
      <c r="B303" s="14" t="s">
        <v>39</v>
      </c>
      <c r="C303" s="15" t="n">
        <v>82.68</v>
      </c>
      <c r="D303" s="16" t="n">
        <v>26416699</v>
      </c>
    </row>
    <row r="304" customFormat="false" ht="15" hidden="false" customHeight="false" outlineLevel="0" collapsed="false">
      <c r="A304" s="13" t="n">
        <v>45805</v>
      </c>
      <c r="B304" s="14" t="s">
        <v>39</v>
      </c>
      <c r="C304" s="15" t="n">
        <v>80.83</v>
      </c>
      <c r="D304" s="16" t="n">
        <v>5657693</v>
      </c>
    </row>
    <row r="305" customFormat="false" ht="15" hidden="false" customHeight="false" outlineLevel="0" collapsed="false">
      <c r="A305" s="13" t="n">
        <v>45806</v>
      </c>
      <c r="B305" s="14" t="s">
        <v>39</v>
      </c>
      <c r="C305" s="15" t="n">
        <v>81.12</v>
      </c>
      <c r="D305" s="16" t="n">
        <v>55596342</v>
      </c>
    </row>
    <row r="306" customFormat="false" ht="15" hidden="false" customHeight="false" outlineLevel="0" collapsed="false">
      <c r="A306" s="13" t="n">
        <v>45807</v>
      </c>
      <c r="B306" s="14" t="s">
        <v>39</v>
      </c>
      <c r="C306" s="15" t="n">
        <v>83.21</v>
      </c>
      <c r="D306" s="16" t="n">
        <v>35262121</v>
      </c>
    </row>
    <row r="307" customFormat="false" ht="15" hidden="false" customHeight="false" outlineLevel="0" collapsed="false">
      <c r="A307" s="13" t="n">
        <v>45810</v>
      </c>
      <c r="B307" s="14" t="s">
        <v>39</v>
      </c>
      <c r="C307" s="15" t="n">
        <v>82.54</v>
      </c>
      <c r="D307" s="16" t="n">
        <v>13836402</v>
      </c>
    </row>
    <row r="308" customFormat="false" ht="15" hidden="false" customHeight="false" outlineLevel="0" collapsed="false">
      <c r="A308" s="13" t="n">
        <v>45811</v>
      </c>
      <c r="B308" s="14" t="s">
        <v>39</v>
      </c>
      <c r="C308" s="15" t="n">
        <v>83.07</v>
      </c>
      <c r="D308" s="16" t="n">
        <v>44558992</v>
      </c>
    </row>
    <row r="309" customFormat="false" ht="15" hidden="false" customHeight="false" outlineLevel="0" collapsed="false">
      <c r="A309" s="13" t="n">
        <v>45812</v>
      </c>
      <c r="B309" s="14" t="s">
        <v>39</v>
      </c>
      <c r="C309" s="15" t="n">
        <v>83.06</v>
      </c>
      <c r="D309" s="16" t="n">
        <v>52628164</v>
      </c>
    </row>
    <row r="310" customFormat="false" ht="15" hidden="false" customHeight="false" outlineLevel="0" collapsed="false">
      <c r="A310" s="13" t="n">
        <v>45813</v>
      </c>
      <c r="B310" s="14" t="s">
        <v>39</v>
      </c>
      <c r="C310" s="15" t="n">
        <v>85.16</v>
      </c>
      <c r="D310" s="16" t="n">
        <v>28696003</v>
      </c>
    </row>
    <row r="311" customFormat="false" ht="15" hidden="false" customHeight="false" outlineLevel="0" collapsed="false">
      <c r="A311" s="13" t="n">
        <v>45814</v>
      </c>
      <c r="B311" s="14" t="s">
        <v>39</v>
      </c>
      <c r="C311" s="15" t="n">
        <v>84.12</v>
      </c>
      <c r="D311" s="16" t="n">
        <v>27722441</v>
      </c>
    </row>
    <row r="312" customFormat="false" ht="15" hidden="false" customHeight="false" outlineLevel="0" collapsed="false">
      <c r="A312" s="13" t="n">
        <v>45817</v>
      </c>
      <c r="B312" s="14" t="s">
        <v>39</v>
      </c>
      <c r="C312" s="15" t="n">
        <v>85.9</v>
      </c>
      <c r="D312" s="16" t="n">
        <v>21240567</v>
      </c>
    </row>
    <row r="313" customFormat="false" ht="15" hidden="false" customHeight="false" outlineLevel="0" collapsed="false">
      <c r="A313" s="13" t="n">
        <v>45818</v>
      </c>
      <c r="B313" s="14" t="s">
        <v>39</v>
      </c>
      <c r="C313" s="15" t="n">
        <v>85.33</v>
      </c>
      <c r="D313" s="16" t="n">
        <v>34248585</v>
      </c>
    </row>
    <row r="314" customFormat="false" ht="15" hidden="false" customHeight="false" outlineLevel="0" collapsed="false">
      <c r="A314" s="13" t="n">
        <v>45819</v>
      </c>
      <c r="B314" s="14" t="s">
        <v>39</v>
      </c>
      <c r="C314" s="15" t="n">
        <v>84.26</v>
      </c>
      <c r="D314" s="16" t="n">
        <v>15142224</v>
      </c>
    </row>
    <row r="315" customFormat="false" ht="15" hidden="false" customHeight="false" outlineLevel="0" collapsed="false">
      <c r="A315" s="13" t="n">
        <v>45820</v>
      </c>
      <c r="B315" s="14" t="s">
        <v>39</v>
      </c>
      <c r="C315" s="15" t="n">
        <v>84.44</v>
      </c>
      <c r="D315" s="16" t="n">
        <v>36409403</v>
      </c>
    </row>
    <row r="316" customFormat="false" ht="15" hidden="false" customHeight="false" outlineLevel="0" collapsed="false">
      <c r="A316" s="13" t="n">
        <v>45821</v>
      </c>
      <c r="B316" s="14" t="s">
        <v>39</v>
      </c>
      <c r="C316" s="15" t="n">
        <v>84.98</v>
      </c>
      <c r="D316" s="16" t="n">
        <v>17045907</v>
      </c>
    </row>
    <row r="317" customFormat="false" ht="15" hidden="false" customHeight="false" outlineLevel="0" collapsed="false">
      <c r="A317" s="13" t="n">
        <v>45824</v>
      </c>
      <c r="B317" s="14" t="s">
        <v>39</v>
      </c>
      <c r="C317" s="15" t="n">
        <v>87.97</v>
      </c>
      <c r="D317" s="16" t="n">
        <v>26816023</v>
      </c>
    </row>
    <row r="318" customFormat="false" ht="15" hidden="false" customHeight="false" outlineLevel="0" collapsed="false">
      <c r="A318" s="13" t="n">
        <v>45825</v>
      </c>
      <c r="B318" s="14" t="s">
        <v>39</v>
      </c>
      <c r="C318" s="15" t="n">
        <v>88.49</v>
      </c>
      <c r="D318" s="16" t="n">
        <v>49458273</v>
      </c>
    </row>
    <row r="319" customFormat="false" ht="15" hidden="false" customHeight="false" outlineLevel="0" collapsed="false">
      <c r="A319" s="13" t="n">
        <v>45826</v>
      </c>
      <c r="B319" s="14" t="s">
        <v>39</v>
      </c>
      <c r="C319" s="15" t="n">
        <v>88.82</v>
      </c>
      <c r="D319" s="16" t="n">
        <v>50094405</v>
      </c>
    </row>
    <row r="320" customFormat="false" ht="15" hidden="false" customHeight="false" outlineLevel="0" collapsed="false">
      <c r="A320" s="13" t="n">
        <v>45827</v>
      </c>
      <c r="B320" s="14" t="s">
        <v>39</v>
      </c>
      <c r="C320" s="15" t="n">
        <v>91.42</v>
      </c>
      <c r="D320" s="16" t="n">
        <v>36403828</v>
      </c>
    </row>
    <row r="321" customFormat="false" ht="15" hidden="false" customHeight="false" outlineLevel="0" collapsed="false">
      <c r="A321" s="13" t="n">
        <v>45828</v>
      </c>
      <c r="B321" s="14" t="s">
        <v>39</v>
      </c>
      <c r="C321" s="15" t="n">
        <v>92.44</v>
      </c>
      <c r="D321" s="16" t="n">
        <v>16734209</v>
      </c>
    </row>
    <row r="322" customFormat="false" ht="15" hidden="false" customHeight="false" outlineLevel="0" collapsed="false">
      <c r="A322" s="13" t="n">
        <v>45719</v>
      </c>
      <c r="B322" s="14" t="s">
        <v>41</v>
      </c>
      <c r="C322" s="15" t="n">
        <v>90</v>
      </c>
      <c r="D322" s="16" t="n">
        <v>34942384</v>
      </c>
    </row>
    <row r="323" customFormat="false" ht="15" hidden="false" customHeight="false" outlineLevel="0" collapsed="false">
      <c r="A323" s="13" t="n">
        <v>45720</v>
      </c>
      <c r="B323" s="14" t="s">
        <v>41</v>
      </c>
      <c r="C323" s="15" t="n">
        <v>88.55</v>
      </c>
      <c r="D323" s="16" t="n">
        <v>28375197</v>
      </c>
    </row>
    <row r="324" customFormat="false" ht="15" hidden="false" customHeight="false" outlineLevel="0" collapsed="false">
      <c r="A324" s="13" t="n">
        <v>45721</v>
      </c>
      <c r="B324" s="14" t="s">
        <v>41</v>
      </c>
      <c r="C324" s="15" t="n">
        <v>88.46</v>
      </c>
      <c r="D324" s="16" t="n">
        <v>18807333</v>
      </c>
    </row>
    <row r="325" customFormat="false" ht="15" hidden="false" customHeight="false" outlineLevel="0" collapsed="false">
      <c r="A325" s="13" t="n">
        <v>45722</v>
      </c>
      <c r="B325" s="14" t="s">
        <v>41</v>
      </c>
      <c r="C325" s="15" t="n">
        <v>88.4</v>
      </c>
      <c r="D325" s="16" t="n">
        <v>54228466</v>
      </c>
    </row>
    <row r="326" customFormat="false" ht="15" hidden="false" customHeight="false" outlineLevel="0" collapsed="false">
      <c r="A326" s="13" t="n">
        <v>45723</v>
      </c>
      <c r="B326" s="14" t="s">
        <v>41</v>
      </c>
      <c r="C326" s="15" t="n">
        <v>87.33</v>
      </c>
      <c r="D326" s="16" t="n">
        <v>36912253</v>
      </c>
    </row>
    <row r="327" customFormat="false" ht="15" hidden="false" customHeight="false" outlineLevel="0" collapsed="false">
      <c r="A327" s="13" t="n">
        <v>45726</v>
      </c>
      <c r="B327" s="14" t="s">
        <v>41</v>
      </c>
      <c r="C327" s="15" t="n">
        <v>87.83</v>
      </c>
      <c r="D327" s="16" t="n">
        <v>33216504</v>
      </c>
    </row>
    <row r="328" customFormat="false" ht="15" hidden="false" customHeight="false" outlineLevel="0" collapsed="false">
      <c r="A328" s="13" t="n">
        <v>45727</v>
      </c>
      <c r="B328" s="14" t="s">
        <v>41</v>
      </c>
      <c r="C328" s="15" t="n">
        <v>88.6</v>
      </c>
      <c r="D328" s="16" t="n">
        <v>43468174</v>
      </c>
    </row>
    <row r="329" customFormat="false" ht="15" hidden="false" customHeight="false" outlineLevel="0" collapsed="false">
      <c r="A329" s="13" t="n">
        <v>45728</v>
      </c>
      <c r="B329" s="14" t="s">
        <v>41</v>
      </c>
      <c r="C329" s="15" t="n">
        <v>88.33</v>
      </c>
      <c r="D329" s="16" t="n">
        <v>17263882</v>
      </c>
    </row>
    <row r="330" customFormat="false" ht="15" hidden="false" customHeight="false" outlineLevel="0" collapsed="false">
      <c r="A330" s="13" t="n">
        <v>45729</v>
      </c>
      <c r="B330" s="14" t="s">
        <v>41</v>
      </c>
      <c r="C330" s="15" t="n">
        <v>90.42</v>
      </c>
      <c r="D330" s="16" t="n">
        <v>40138695</v>
      </c>
    </row>
    <row r="331" customFormat="false" ht="15" hidden="false" customHeight="false" outlineLevel="0" collapsed="false">
      <c r="A331" s="13" t="n">
        <v>45730</v>
      </c>
      <c r="B331" s="14" t="s">
        <v>41</v>
      </c>
      <c r="C331" s="15" t="n">
        <v>90.11</v>
      </c>
      <c r="D331" s="16" t="n">
        <v>34799193</v>
      </c>
    </row>
    <row r="332" customFormat="false" ht="15" hidden="false" customHeight="false" outlineLevel="0" collapsed="false">
      <c r="A332" s="13" t="n">
        <v>45733</v>
      </c>
      <c r="B332" s="14" t="s">
        <v>41</v>
      </c>
      <c r="C332" s="15" t="n">
        <v>89.68</v>
      </c>
      <c r="D332" s="16" t="n">
        <v>45914860</v>
      </c>
    </row>
    <row r="333" customFormat="false" ht="15" hidden="false" customHeight="false" outlineLevel="0" collapsed="false">
      <c r="A333" s="13" t="n">
        <v>45734</v>
      </c>
      <c r="B333" s="14" t="s">
        <v>41</v>
      </c>
      <c r="C333" s="15" t="n">
        <v>89.22</v>
      </c>
      <c r="D333" s="16" t="n">
        <v>17612651</v>
      </c>
    </row>
    <row r="334" customFormat="false" ht="15" hidden="false" customHeight="false" outlineLevel="0" collapsed="false">
      <c r="A334" s="13" t="n">
        <v>45735</v>
      </c>
      <c r="B334" s="14" t="s">
        <v>41</v>
      </c>
      <c r="C334" s="15" t="n">
        <v>88.42</v>
      </c>
      <c r="D334" s="16" t="n">
        <v>9386180</v>
      </c>
    </row>
    <row r="335" customFormat="false" ht="15" hidden="false" customHeight="false" outlineLevel="0" collapsed="false">
      <c r="A335" s="13" t="n">
        <v>45736</v>
      </c>
      <c r="B335" s="14" t="s">
        <v>41</v>
      </c>
      <c r="C335" s="15" t="n">
        <v>87.89</v>
      </c>
      <c r="D335" s="16" t="n">
        <v>49014453</v>
      </c>
    </row>
    <row r="336" customFormat="false" ht="15" hidden="false" customHeight="false" outlineLevel="0" collapsed="false">
      <c r="A336" s="13" t="n">
        <v>45737</v>
      </c>
      <c r="B336" s="14" t="s">
        <v>41</v>
      </c>
      <c r="C336" s="15" t="n">
        <v>86.48</v>
      </c>
      <c r="D336" s="16" t="n">
        <v>34618755</v>
      </c>
    </row>
    <row r="337" customFormat="false" ht="15" hidden="false" customHeight="false" outlineLevel="0" collapsed="false">
      <c r="A337" s="13" t="n">
        <v>45740</v>
      </c>
      <c r="B337" s="14" t="s">
        <v>41</v>
      </c>
      <c r="C337" s="15" t="n">
        <v>86.32</v>
      </c>
      <c r="D337" s="16" t="n">
        <v>16296274</v>
      </c>
    </row>
    <row r="338" customFormat="false" ht="15" hidden="false" customHeight="false" outlineLevel="0" collapsed="false">
      <c r="A338" s="13" t="n">
        <v>45741</v>
      </c>
      <c r="B338" s="14" t="s">
        <v>41</v>
      </c>
      <c r="C338" s="15" t="n">
        <v>86.4</v>
      </c>
      <c r="D338" s="16" t="n">
        <v>52569363</v>
      </c>
    </row>
    <row r="339" customFormat="false" ht="15" hidden="false" customHeight="false" outlineLevel="0" collapsed="false">
      <c r="A339" s="13" t="n">
        <v>45742</v>
      </c>
      <c r="B339" s="14" t="s">
        <v>41</v>
      </c>
      <c r="C339" s="15" t="n">
        <v>84.19</v>
      </c>
      <c r="D339" s="16" t="n">
        <v>33686304</v>
      </c>
    </row>
    <row r="340" customFormat="false" ht="15" hidden="false" customHeight="false" outlineLevel="0" collapsed="false">
      <c r="A340" s="13" t="n">
        <v>45743</v>
      </c>
      <c r="B340" s="14" t="s">
        <v>41</v>
      </c>
      <c r="C340" s="15" t="n">
        <v>84.11</v>
      </c>
      <c r="D340" s="16" t="n">
        <v>9040979</v>
      </c>
    </row>
    <row r="341" customFormat="false" ht="15" hidden="false" customHeight="false" outlineLevel="0" collapsed="false">
      <c r="A341" s="13" t="n">
        <v>45744</v>
      </c>
      <c r="B341" s="14" t="s">
        <v>41</v>
      </c>
      <c r="C341" s="15" t="n">
        <v>84.18</v>
      </c>
      <c r="D341" s="16" t="n">
        <v>35508912</v>
      </c>
    </row>
    <row r="342" customFormat="false" ht="15" hidden="false" customHeight="false" outlineLevel="0" collapsed="false">
      <c r="A342" s="13" t="n">
        <v>45747</v>
      </c>
      <c r="B342" s="14" t="s">
        <v>41</v>
      </c>
      <c r="C342" s="15" t="n">
        <v>84.69</v>
      </c>
      <c r="D342" s="16" t="n">
        <v>24458350</v>
      </c>
    </row>
    <row r="343" customFormat="false" ht="15" hidden="false" customHeight="false" outlineLevel="0" collapsed="false">
      <c r="A343" s="13" t="n">
        <v>45748</v>
      </c>
      <c r="B343" s="14" t="s">
        <v>41</v>
      </c>
      <c r="C343" s="15" t="n">
        <v>85.87</v>
      </c>
      <c r="D343" s="16" t="n">
        <v>18631232</v>
      </c>
    </row>
    <row r="344" customFormat="false" ht="15" hidden="false" customHeight="false" outlineLevel="0" collapsed="false">
      <c r="A344" s="13" t="n">
        <v>45749</v>
      </c>
      <c r="B344" s="14" t="s">
        <v>41</v>
      </c>
      <c r="C344" s="15" t="n">
        <v>86.72</v>
      </c>
      <c r="D344" s="16" t="n">
        <v>6347417</v>
      </c>
    </row>
    <row r="345" customFormat="false" ht="15" hidden="false" customHeight="false" outlineLevel="0" collapsed="false">
      <c r="A345" s="13" t="n">
        <v>45750</v>
      </c>
      <c r="B345" s="14" t="s">
        <v>41</v>
      </c>
      <c r="C345" s="15" t="n">
        <v>86.14</v>
      </c>
      <c r="D345" s="16" t="n">
        <v>10253517</v>
      </c>
    </row>
    <row r="346" customFormat="false" ht="15" hidden="false" customHeight="false" outlineLevel="0" collapsed="false">
      <c r="A346" s="13" t="n">
        <v>45751</v>
      </c>
      <c r="B346" s="14" t="s">
        <v>41</v>
      </c>
      <c r="C346" s="15" t="n">
        <v>85.44</v>
      </c>
      <c r="D346" s="16" t="n">
        <v>32699263</v>
      </c>
    </row>
    <row r="347" customFormat="false" ht="15" hidden="false" customHeight="false" outlineLevel="0" collapsed="false">
      <c r="A347" s="13" t="n">
        <v>45754</v>
      </c>
      <c r="B347" s="14" t="s">
        <v>41</v>
      </c>
      <c r="C347" s="15" t="n">
        <v>86.03</v>
      </c>
      <c r="D347" s="16" t="n">
        <v>40364133</v>
      </c>
    </row>
    <row r="348" customFormat="false" ht="15" hidden="false" customHeight="false" outlineLevel="0" collapsed="false">
      <c r="A348" s="13" t="n">
        <v>45755</v>
      </c>
      <c r="B348" s="14" t="s">
        <v>41</v>
      </c>
      <c r="C348" s="15" t="n">
        <v>85.52</v>
      </c>
      <c r="D348" s="16" t="n">
        <v>14371172</v>
      </c>
    </row>
    <row r="349" customFormat="false" ht="15" hidden="false" customHeight="false" outlineLevel="0" collapsed="false">
      <c r="A349" s="13" t="n">
        <v>45756</v>
      </c>
      <c r="B349" s="14" t="s">
        <v>41</v>
      </c>
      <c r="C349" s="15" t="n">
        <v>84.35</v>
      </c>
      <c r="D349" s="16" t="n">
        <v>27216317</v>
      </c>
    </row>
    <row r="350" customFormat="false" ht="15" hidden="false" customHeight="false" outlineLevel="0" collapsed="false">
      <c r="A350" s="13" t="n">
        <v>45757</v>
      </c>
      <c r="B350" s="14" t="s">
        <v>41</v>
      </c>
      <c r="C350" s="15" t="n">
        <v>86.65</v>
      </c>
      <c r="D350" s="16" t="n">
        <v>44548158</v>
      </c>
    </row>
    <row r="351" customFormat="false" ht="15" hidden="false" customHeight="false" outlineLevel="0" collapsed="false">
      <c r="A351" s="13" t="n">
        <v>45758</v>
      </c>
      <c r="B351" s="14" t="s">
        <v>41</v>
      </c>
      <c r="C351" s="15" t="n">
        <v>86.36</v>
      </c>
      <c r="D351" s="16" t="n">
        <v>54215075</v>
      </c>
    </row>
    <row r="352" customFormat="false" ht="15" hidden="false" customHeight="false" outlineLevel="0" collapsed="false">
      <c r="A352" s="13" t="n">
        <v>45761</v>
      </c>
      <c r="B352" s="14" t="s">
        <v>41</v>
      </c>
      <c r="C352" s="15" t="n">
        <v>85.77</v>
      </c>
      <c r="D352" s="16" t="n">
        <v>35970444</v>
      </c>
    </row>
    <row r="353" customFormat="false" ht="15" hidden="false" customHeight="false" outlineLevel="0" collapsed="false">
      <c r="A353" s="13" t="n">
        <v>45762</v>
      </c>
      <c r="B353" s="14" t="s">
        <v>41</v>
      </c>
      <c r="C353" s="15" t="n">
        <v>83.67</v>
      </c>
      <c r="D353" s="16" t="n">
        <v>6752810</v>
      </c>
    </row>
    <row r="354" customFormat="false" ht="15" hidden="false" customHeight="false" outlineLevel="0" collapsed="false">
      <c r="A354" s="13" t="n">
        <v>45763</v>
      </c>
      <c r="B354" s="14" t="s">
        <v>41</v>
      </c>
      <c r="C354" s="15" t="n">
        <v>84.5</v>
      </c>
      <c r="D354" s="16" t="n">
        <v>1571650</v>
      </c>
    </row>
    <row r="355" customFormat="false" ht="15" hidden="false" customHeight="false" outlineLevel="0" collapsed="false">
      <c r="A355" s="13" t="n">
        <v>45764</v>
      </c>
      <c r="B355" s="14" t="s">
        <v>41</v>
      </c>
      <c r="C355" s="15" t="n">
        <v>83.57</v>
      </c>
      <c r="D355" s="16" t="n">
        <v>22253792</v>
      </c>
    </row>
    <row r="356" customFormat="false" ht="15" hidden="false" customHeight="false" outlineLevel="0" collapsed="false">
      <c r="A356" s="13" t="n">
        <v>45765</v>
      </c>
      <c r="B356" s="14" t="s">
        <v>41</v>
      </c>
      <c r="C356" s="15" t="n">
        <v>83.62</v>
      </c>
      <c r="D356" s="16" t="n">
        <v>43328965</v>
      </c>
    </row>
    <row r="357" customFormat="false" ht="15" hidden="false" customHeight="false" outlineLevel="0" collapsed="false">
      <c r="A357" s="13" t="n">
        <v>45768</v>
      </c>
      <c r="B357" s="14" t="s">
        <v>41</v>
      </c>
      <c r="C357" s="15" t="n">
        <v>84.57</v>
      </c>
      <c r="D357" s="16" t="n">
        <v>37418225</v>
      </c>
    </row>
    <row r="358" customFormat="false" ht="15" hidden="false" customHeight="false" outlineLevel="0" collapsed="false">
      <c r="A358" s="13" t="n">
        <v>45769</v>
      </c>
      <c r="B358" s="14" t="s">
        <v>41</v>
      </c>
      <c r="C358" s="15" t="n">
        <v>83.66</v>
      </c>
      <c r="D358" s="16" t="n">
        <v>5909047</v>
      </c>
    </row>
    <row r="359" customFormat="false" ht="15" hidden="false" customHeight="false" outlineLevel="0" collapsed="false">
      <c r="A359" s="13" t="n">
        <v>45770</v>
      </c>
      <c r="B359" s="14" t="s">
        <v>41</v>
      </c>
      <c r="C359" s="15" t="n">
        <v>83.76</v>
      </c>
      <c r="D359" s="16" t="n">
        <v>41435721</v>
      </c>
    </row>
    <row r="360" customFormat="false" ht="15" hidden="false" customHeight="false" outlineLevel="0" collapsed="false">
      <c r="A360" s="13" t="n">
        <v>45771</v>
      </c>
      <c r="B360" s="14" t="s">
        <v>41</v>
      </c>
      <c r="C360" s="15" t="n">
        <v>85.23</v>
      </c>
      <c r="D360" s="16" t="n">
        <v>8422212</v>
      </c>
    </row>
    <row r="361" customFormat="false" ht="15" hidden="false" customHeight="false" outlineLevel="0" collapsed="false">
      <c r="A361" s="13" t="n">
        <v>45772</v>
      </c>
      <c r="B361" s="14" t="s">
        <v>41</v>
      </c>
      <c r="C361" s="15" t="n">
        <v>82.88</v>
      </c>
      <c r="D361" s="16" t="n">
        <v>4757974</v>
      </c>
    </row>
    <row r="362" customFormat="false" ht="15" hidden="false" customHeight="false" outlineLevel="0" collapsed="false">
      <c r="A362" s="13" t="n">
        <v>45775</v>
      </c>
      <c r="B362" s="14" t="s">
        <v>41</v>
      </c>
      <c r="C362" s="15" t="n">
        <v>82.14</v>
      </c>
      <c r="D362" s="16" t="n">
        <v>9791689</v>
      </c>
    </row>
    <row r="363" customFormat="false" ht="15" hidden="false" customHeight="false" outlineLevel="0" collapsed="false">
      <c r="A363" s="13" t="n">
        <v>45776</v>
      </c>
      <c r="B363" s="14" t="s">
        <v>41</v>
      </c>
      <c r="C363" s="15" t="n">
        <v>81.32</v>
      </c>
      <c r="D363" s="16" t="n">
        <v>24988395</v>
      </c>
    </row>
    <row r="364" customFormat="false" ht="15" hidden="false" customHeight="false" outlineLevel="0" collapsed="false">
      <c r="A364" s="13" t="n">
        <v>45777</v>
      </c>
      <c r="B364" s="14" t="s">
        <v>41</v>
      </c>
      <c r="C364" s="15" t="n">
        <v>81.17</v>
      </c>
      <c r="D364" s="16" t="n">
        <v>43321932</v>
      </c>
    </row>
    <row r="365" customFormat="false" ht="15" hidden="false" customHeight="false" outlineLevel="0" collapsed="false">
      <c r="A365" s="13" t="n">
        <v>45778</v>
      </c>
      <c r="B365" s="14" t="s">
        <v>41</v>
      </c>
      <c r="C365" s="15" t="n">
        <v>81.15</v>
      </c>
      <c r="D365" s="16" t="n">
        <v>55531239</v>
      </c>
    </row>
    <row r="366" customFormat="false" ht="15" hidden="false" customHeight="false" outlineLevel="0" collapsed="false">
      <c r="A366" s="13" t="n">
        <v>45779</v>
      </c>
      <c r="B366" s="14" t="s">
        <v>41</v>
      </c>
      <c r="C366" s="15" t="n">
        <v>80.19</v>
      </c>
      <c r="D366" s="16" t="n">
        <v>56832193</v>
      </c>
    </row>
    <row r="367" customFormat="false" ht="15" hidden="false" customHeight="false" outlineLevel="0" collapsed="false">
      <c r="A367" s="13" t="n">
        <v>45782</v>
      </c>
      <c r="B367" s="14" t="s">
        <v>41</v>
      </c>
      <c r="C367" s="15" t="n">
        <v>79.62</v>
      </c>
      <c r="D367" s="16" t="n">
        <v>42846355</v>
      </c>
    </row>
    <row r="368" customFormat="false" ht="15" hidden="false" customHeight="false" outlineLevel="0" collapsed="false">
      <c r="A368" s="13" t="n">
        <v>45783</v>
      </c>
      <c r="B368" s="14" t="s">
        <v>41</v>
      </c>
      <c r="C368" s="15" t="n">
        <v>78.94</v>
      </c>
      <c r="D368" s="16" t="n">
        <v>20931456</v>
      </c>
    </row>
    <row r="369" customFormat="false" ht="15" hidden="false" customHeight="false" outlineLevel="0" collapsed="false">
      <c r="A369" s="13" t="n">
        <v>45784</v>
      </c>
      <c r="B369" s="14" t="s">
        <v>41</v>
      </c>
      <c r="C369" s="15" t="n">
        <v>78.65</v>
      </c>
      <c r="D369" s="16" t="n">
        <v>42350756</v>
      </c>
    </row>
    <row r="370" customFormat="false" ht="15" hidden="false" customHeight="false" outlineLevel="0" collapsed="false">
      <c r="A370" s="13" t="n">
        <v>45785</v>
      </c>
      <c r="B370" s="14" t="s">
        <v>41</v>
      </c>
      <c r="C370" s="15" t="n">
        <v>78.87</v>
      </c>
      <c r="D370" s="16" t="n">
        <v>12643208</v>
      </c>
    </row>
    <row r="371" customFormat="false" ht="15" hidden="false" customHeight="false" outlineLevel="0" collapsed="false">
      <c r="A371" s="13" t="n">
        <v>45786</v>
      </c>
      <c r="B371" s="14" t="s">
        <v>41</v>
      </c>
      <c r="C371" s="15" t="n">
        <v>79.7</v>
      </c>
      <c r="D371" s="16" t="n">
        <v>44928336</v>
      </c>
    </row>
    <row r="372" customFormat="false" ht="15" hidden="false" customHeight="false" outlineLevel="0" collapsed="false">
      <c r="A372" s="13" t="n">
        <v>45789</v>
      </c>
      <c r="B372" s="14" t="s">
        <v>41</v>
      </c>
      <c r="C372" s="15" t="n">
        <v>80.68</v>
      </c>
      <c r="D372" s="16" t="n">
        <v>32443720</v>
      </c>
    </row>
    <row r="373" customFormat="false" ht="15" hidden="false" customHeight="false" outlineLevel="0" collapsed="false">
      <c r="A373" s="13" t="n">
        <v>45790</v>
      </c>
      <c r="B373" s="14" t="s">
        <v>41</v>
      </c>
      <c r="C373" s="15" t="n">
        <v>81.3</v>
      </c>
      <c r="D373" s="16" t="n">
        <v>9112074</v>
      </c>
    </row>
    <row r="374" customFormat="false" ht="15" hidden="false" customHeight="false" outlineLevel="0" collapsed="false">
      <c r="A374" s="13" t="n">
        <v>45791</v>
      </c>
      <c r="B374" s="14" t="s">
        <v>41</v>
      </c>
      <c r="C374" s="15" t="n">
        <v>80.52</v>
      </c>
      <c r="D374" s="16" t="n">
        <v>19967438</v>
      </c>
    </row>
    <row r="375" customFormat="false" ht="15" hidden="false" customHeight="false" outlineLevel="0" collapsed="false">
      <c r="A375" s="13" t="n">
        <v>45792</v>
      </c>
      <c r="B375" s="14" t="s">
        <v>41</v>
      </c>
      <c r="C375" s="15" t="n">
        <v>80.54</v>
      </c>
      <c r="D375" s="16" t="n">
        <v>13138391</v>
      </c>
    </row>
    <row r="376" customFormat="false" ht="15" hidden="false" customHeight="false" outlineLevel="0" collapsed="false">
      <c r="A376" s="13" t="n">
        <v>45793</v>
      </c>
      <c r="B376" s="14" t="s">
        <v>41</v>
      </c>
      <c r="C376" s="15" t="n">
        <v>82.73</v>
      </c>
      <c r="D376" s="16" t="n">
        <v>54050917</v>
      </c>
    </row>
    <row r="377" customFormat="false" ht="15" hidden="false" customHeight="false" outlineLevel="0" collapsed="false">
      <c r="A377" s="13" t="n">
        <v>45796</v>
      </c>
      <c r="B377" s="14" t="s">
        <v>41</v>
      </c>
      <c r="C377" s="15" t="n">
        <v>83.7</v>
      </c>
      <c r="D377" s="16" t="n">
        <v>25012790</v>
      </c>
    </row>
    <row r="378" customFormat="false" ht="15" hidden="false" customHeight="false" outlineLevel="0" collapsed="false">
      <c r="A378" s="13" t="n">
        <v>45797</v>
      </c>
      <c r="B378" s="14" t="s">
        <v>41</v>
      </c>
      <c r="C378" s="15" t="n">
        <v>83.31</v>
      </c>
      <c r="D378" s="16" t="n">
        <v>57004002</v>
      </c>
    </row>
    <row r="379" customFormat="false" ht="15" hidden="false" customHeight="false" outlineLevel="0" collapsed="false">
      <c r="A379" s="13" t="n">
        <v>45798</v>
      </c>
      <c r="B379" s="14" t="s">
        <v>41</v>
      </c>
      <c r="C379" s="15" t="n">
        <v>84.83</v>
      </c>
      <c r="D379" s="16" t="n">
        <v>22982813</v>
      </c>
    </row>
    <row r="380" customFormat="false" ht="15" hidden="false" customHeight="false" outlineLevel="0" collapsed="false">
      <c r="A380" s="13" t="n">
        <v>45799</v>
      </c>
      <c r="B380" s="14" t="s">
        <v>41</v>
      </c>
      <c r="C380" s="15" t="n">
        <v>84.48</v>
      </c>
      <c r="D380" s="16" t="n">
        <v>56616606</v>
      </c>
    </row>
    <row r="381" customFormat="false" ht="15" hidden="false" customHeight="false" outlineLevel="0" collapsed="false">
      <c r="A381" s="13" t="n">
        <v>45800</v>
      </c>
      <c r="B381" s="14" t="s">
        <v>41</v>
      </c>
      <c r="C381" s="15" t="n">
        <v>83.86</v>
      </c>
      <c r="D381" s="16" t="n">
        <v>33874288</v>
      </c>
    </row>
    <row r="382" customFormat="false" ht="15" hidden="false" customHeight="false" outlineLevel="0" collapsed="false">
      <c r="A382" s="13" t="n">
        <v>45803</v>
      </c>
      <c r="B382" s="14" t="s">
        <v>41</v>
      </c>
      <c r="C382" s="15" t="n">
        <v>85.21</v>
      </c>
      <c r="D382" s="16" t="n">
        <v>30967940</v>
      </c>
    </row>
    <row r="383" customFormat="false" ht="15" hidden="false" customHeight="false" outlineLevel="0" collapsed="false">
      <c r="A383" s="13" t="n">
        <v>45804</v>
      </c>
      <c r="B383" s="14" t="s">
        <v>41</v>
      </c>
      <c r="C383" s="15" t="n">
        <v>83.97</v>
      </c>
      <c r="D383" s="16" t="n">
        <v>11713405</v>
      </c>
    </row>
    <row r="384" customFormat="false" ht="15" hidden="false" customHeight="false" outlineLevel="0" collapsed="false">
      <c r="A384" s="13" t="n">
        <v>45805</v>
      </c>
      <c r="B384" s="14" t="s">
        <v>41</v>
      </c>
      <c r="C384" s="15" t="n">
        <v>82.17</v>
      </c>
      <c r="D384" s="16" t="n">
        <v>50819579</v>
      </c>
    </row>
    <row r="385" customFormat="false" ht="15" hidden="false" customHeight="false" outlineLevel="0" collapsed="false">
      <c r="A385" s="13" t="n">
        <v>45806</v>
      </c>
      <c r="B385" s="14" t="s">
        <v>41</v>
      </c>
      <c r="C385" s="15" t="n">
        <v>83.07</v>
      </c>
      <c r="D385" s="16" t="n">
        <v>52118315</v>
      </c>
    </row>
    <row r="386" customFormat="false" ht="15" hidden="false" customHeight="false" outlineLevel="0" collapsed="false">
      <c r="A386" s="13" t="n">
        <v>45807</v>
      </c>
      <c r="B386" s="14" t="s">
        <v>41</v>
      </c>
      <c r="C386" s="15" t="n">
        <v>83.12</v>
      </c>
      <c r="D386" s="16" t="n">
        <v>10742257</v>
      </c>
    </row>
    <row r="387" customFormat="false" ht="15" hidden="false" customHeight="false" outlineLevel="0" collapsed="false">
      <c r="A387" s="13" t="n">
        <v>45810</v>
      </c>
      <c r="B387" s="14" t="s">
        <v>41</v>
      </c>
      <c r="C387" s="15" t="n">
        <v>83.26</v>
      </c>
      <c r="D387" s="16" t="n">
        <v>48515508</v>
      </c>
    </row>
    <row r="388" customFormat="false" ht="15" hidden="false" customHeight="false" outlineLevel="0" collapsed="false">
      <c r="A388" s="13" t="n">
        <v>45811</v>
      </c>
      <c r="B388" s="14" t="s">
        <v>41</v>
      </c>
      <c r="C388" s="15" t="n">
        <v>82.94</v>
      </c>
      <c r="D388" s="16" t="n">
        <v>53044151</v>
      </c>
    </row>
    <row r="389" customFormat="false" ht="15" hidden="false" customHeight="false" outlineLevel="0" collapsed="false">
      <c r="A389" s="13" t="n">
        <v>45812</v>
      </c>
      <c r="B389" s="14" t="s">
        <v>41</v>
      </c>
      <c r="C389" s="15" t="n">
        <v>82.74</v>
      </c>
      <c r="D389" s="16" t="n">
        <v>29151242</v>
      </c>
    </row>
    <row r="390" customFormat="false" ht="15" hidden="false" customHeight="false" outlineLevel="0" collapsed="false">
      <c r="A390" s="13" t="n">
        <v>45813</v>
      </c>
      <c r="B390" s="14" t="s">
        <v>41</v>
      </c>
      <c r="C390" s="15" t="n">
        <v>82.33</v>
      </c>
      <c r="D390" s="16" t="n">
        <v>4609736</v>
      </c>
    </row>
    <row r="391" customFormat="false" ht="15" hidden="false" customHeight="false" outlineLevel="0" collapsed="false">
      <c r="A391" s="13" t="n">
        <v>45814</v>
      </c>
      <c r="B391" s="14" t="s">
        <v>41</v>
      </c>
      <c r="C391" s="15" t="n">
        <v>81.77</v>
      </c>
      <c r="D391" s="16" t="n">
        <v>9060833</v>
      </c>
    </row>
    <row r="392" customFormat="false" ht="15" hidden="false" customHeight="false" outlineLevel="0" collapsed="false">
      <c r="A392" s="13" t="n">
        <v>45817</v>
      </c>
      <c r="B392" s="14" t="s">
        <v>41</v>
      </c>
      <c r="C392" s="15" t="n">
        <v>81.44</v>
      </c>
      <c r="D392" s="16" t="n">
        <v>41192587</v>
      </c>
    </row>
    <row r="393" customFormat="false" ht="15" hidden="false" customHeight="false" outlineLevel="0" collapsed="false">
      <c r="A393" s="13" t="n">
        <v>45818</v>
      </c>
      <c r="B393" s="14" t="s">
        <v>41</v>
      </c>
      <c r="C393" s="15" t="n">
        <v>81.08</v>
      </c>
      <c r="D393" s="16" t="n">
        <v>19161634</v>
      </c>
    </row>
    <row r="394" customFormat="false" ht="15" hidden="false" customHeight="false" outlineLevel="0" collapsed="false">
      <c r="A394" s="13" t="n">
        <v>45819</v>
      </c>
      <c r="B394" s="14" t="s">
        <v>41</v>
      </c>
      <c r="C394" s="15" t="n">
        <v>80.34</v>
      </c>
      <c r="D394" s="16" t="n">
        <v>18163810</v>
      </c>
    </row>
    <row r="395" customFormat="false" ht="15" hidden="false" customHeight="false" outlineLevel="0" collapsed="false">
      <c r="A395" s="13" t="n">
        <v>45820</v>
      </c>
      <c r="B395" s="14" t="s">
        <v>41</v>
      </c>
      <c r="C395" s="15" t="n">
        <v>79.87</v>
      </c>
      <c r="D395" s="16" t="n">
        <v>20646976</v>
      </c>
    </row>
    <row r="396" customFormat="false" ht="15" hidden="false" customHeight="false" outlineLevel="0" collapsed="false">
      <c r="A396" s="13" t="n">
        <v>45821</v>
      </c>
      <c r="B396" s="14" t="s">
        <v>41</v>
      </c>
      <c r="C396" s="15" t="n">
        <v>77.62</v>
      </c>
      <c r="D396" s="16" t="n">
        <v>29972327</v>
      </c>
    </row>
    <row r="397" customFormat="false" ht="15" hidden="false" customHeight="false" outlineLevel="0" collapsed="false">
      <c r="A397" s="13" t="n">
        <v>45824</v>
      </c>
      <c r="B397" s="14" t="s">
        <v>41</v>
      </c>
      <c r="C397" s="15" t="n">
        <v>78.25</v>
      </c>
      <c r="D397" s="16" t="n">
        <v>13225855</v>
      </c>
    </row>
    <row r="398" customFormat="false" ht="15" hidden="false" customHeight="false" outlineLevel="0" collapsed="false">
      <c r="A398" s="13" t="n">
        <v>45825</v>
      </c>
      <c r="B398" s="14" t="s">
        <v>41</v>
      </c>
      <c r="C398" s="15" t="n">
        <v>78.62</v>
      </c>
      <c r="D398" s="16" t="n">
        <v>52424149</v>
      </c>
    </row>
    <row r="399" customFormat="false" ht="15" hidden="false" customHeight="false" outlineLevel="0" collapsed="false">
      <c r="A399" s="13" t="n">
        <v>45826</v>
      </c>
      <c r="B399" s="14" t="s">
        <v>41</v>
      </c>
      <c r="C399" s="15" t="n">
        <v>78.56</v>
      </c>
      <c r="D399" s="16" t="n">
        <v>6238331</v>
      </c>
    </row>
    <row r="400" customFormat="false" ht="15" hidden="false" customHeight="false" outlineLevel="0" collapsed="false">
      <c r="A400" s="13" t="n">
        <v>45827</v>
      </c>
      <c r="B400" s="14" t="s">
        <v>41</v>
      </c>
      <c r="C400" s="15" t="n">
        <v>78.8</v>
      </c>
      <c r="D400" s="16" t="n">
        <v>59857279</v>
      </c>
    </row>
    <row r="401" customFormat="false" ht="15" hidden="false" customHeight="false" outlineLevel="0" collapsed="false">
      <c r="A401" s="13" t="n">
        <v>45828</v>
      </c>
      <c r="B401" s="14" t="s">
        <v>41</v>
      </c>
      <c r="C401" s="15" t="n">
        <v>79.06</v>
      </c>
      <c r="D401" s="16" t="n">
        <v>2135964</v>
      </c>
    </row>
    <row r="402" customFormat="false" ht="15" hidden="false" customHeight="false" outlineLevel="0" collapsed="false">
      <c r="A402" s="13" t="n">
        <v>45719</v>
      </c>
      <c r="B402" s="14" t="s">
        <v>44</v>
      </c>
      <c r="C402" s="15" t="n">
        <v>155</v>
      </c>
      <c r="D402" s="16" t="n">
        <v>26677235</v>
      </c>
    </row>
    <row r="403" customFormat="false" ht="15" hidden="false" customHeight="false" outlineLevel="0" collapsed="false">
      <c r="A403" s="13" t="n">
        <v>45720</v>
      </c>
      <c r="B403" s="14" t="s">
        <v>44</v>
      </c>
      <c r="C403" s="15" t="n">
        <v>154.39</v>
      </c>
      <c r="D403" s="16" t="n">
        <v>29088632</v>
      </c>
    </row>
    <row r="404" customFormat="false" ht="15" hidden="false" customHeight="false" outlineLevel="0" collapsed="false">
      <c r="A404" s="13" t="n">
        <v>45721</v>
      </c>
      <c r="B404" s="14" t="s">
        <v>44</v>
      </c>
      <c r="C404" s="15" t="n">
        <v>153.67</v>
      </c>
      <c r="D404" s="16" t="n">
        <v>20894388</v>
      </c>
    </row>
    <row r="405" customFormat="false" ht="15" hidden="false" customHeight="false" outlineLevel="0" collapsed="false">
      <c r="A405" s="13" t="n">
        <v>45722</v>
      </c>
      <c r="B405" s="14" t="s">
        <v>44</v>
      </c>
      <c r="C405" s="15" t="n">
        <v>153.04</v>
      </c>
      <c r="D405" s="16" t="n">
        <v>43827417</v>
      </c>
    </row>
    <row r="406" customFormat="false" ht="15" hidden="false" customHeight="false" outlineLevel="0" collapsed="false">
      <c r="A406" s="13" t="n">
        <v>45723</v>
      </c>
      <c r="B406" s="14" t="s">
        <v>44</v>
      </c>
      <c r="C406" s="15" t="n">
        <v>153.68</v>
      </c>
      <c r="D406" s="16" t="n">
        <v>24081896</v>
      </c>
    </row>
    <row r="407" customFormat="false" ht="15" hidden="false" customHeight="false" outlineLevel="0" collapsed="false">
      <c r="A407" s="13" t="n">
        <v>45726</v>
      </c>
      <c r="B407" s="14" t="s">
        <v>44</v>
      </c>
      <c r="C407" s="15" t="n">
        <v>153.07</v>
      </c>
      <c r="D407" s="16" t="n">
        <v>22012258</v>
      </c>
    </row>
    <row r="408" customFormat="false" ht="15" hidden="false" customHeight="false" outlineLevel="0" collapsed="false">
      <c r="A408" s="13" t="n">
        <v>45727</v>
      </c>
      <c r="B408" s="14" t="s">
        <v>44</v>
      </c>
      <c r="C408" s="15" t="n">
        <v>153.55</v>
      </c>
      <c r="D408" s="16" t="n">
        <v>33399934</v>
      </c>
    </row>
    <row r="409" customFormat="false" ht="15" hidden="false" customHeight="false" outlineLevel="0" collapsed="false">
      <c r="A409" s="13" t="n">
        <v>45728</v>
      </c>
      <c r="B409" s="14" t="s">
        <v>44</v>
      </c>
      <c r="C409" s="15" t="n">
        <v>156.8</v>
      </c>
      <c r="D409" s="16" t="n">
        <v>36453171</v>
      </c>
    </row>
    <row r="410" customFormat="false" ht="15" hidden="false" customHeight="false" outlineLevel="0" collapsed="false">
      <c r="A410" s="13" t="n">
        <v>45729</v>
      </c>
      <c r="B410" s="14" t="s">
        <v>44</v>
      </c>
      <c r="C410" s="15" t="n">
        <v>158.21</v>
      </c>
      <c r="D410" s="16" t="n">
        <v>27395160</v>
      </c>
    </row>
    <row r="411" customFormat="false" ht="15" hidden="false" customHeight="false" outlineLevel="0" collapsed="false">
      <c r="A411" s="13" t="n">
        <v>45730</v>
      </c>
      <c r="B411" s="14" t="s">
        <v>44</v>
      </c>
      <c r="C411" s="15" t="n">
        <v>157.73</v>
      </c>
      <c r="D411" s="16" t="n">
        <v>18794649</v>
      </c>
    </row>
    <row r="412" customFormat="false" ht="15" hidden="false" customHeight="false" outlineLevel="0" collapsed="false">
      <c r="A412" s="13" t="n">
        <v>45733</v>
      </c>
      <c r="B412" s="14" t="s">
        <v>44</v>
      </c>
      <c r="C412" s="15" t="n">
        <v>159.68</v>
      </c>
      <c r="D412" s="16" t="n">
        <v>59435658</v>
      </c>
    </row>
    <row r="413" customFormat="false" ht="15" hidden="false" customHeight="false" outlineLevel="0" collapsed="false">
      <c r="A413" s="13" t="n">
        <v>45734</v>
      </c>
      <c r="B413" s="14" t="s">
        <v>44</v>
      </c>
      <c r="C413" s="15" t="n">
        <v>159.06</v>
      </c>
      <c r="D413" s="16" t="n">
        <v>5661029</v>
      </c>
    </row>
    <row r="414" customFormat="false" ht="15" hidden="false" customHeight="false" outlineLevel="0" collapsed="false">
      <c r="A414" s="13" t="n">
        <v>45735</v>
      </c>
      <c r="B414" s="14" t="s">
        <v>44</v>
      </c>
      <c r="C414" s="15" t="n">
        <v>155.83</v>
      </c>
      <c r="D414" s="16" t="n">
        <v>12149697</v>
      </c>
    </row>
    <row r="415" customFormat="false" ht="15" hidden="false" customHeight="false" outlineLevel="0" collapsed="false">
      <c r="A415" s="13" t="n">
        <v>45736</v>
      </c>
      <c r="B415" s="14" t="s">
        <v>44</v>
      </c>
      <c r="C415" s="15" t="n">
        <v>154.28</v>
      </c>
      <c r="D415" s="16" t="n">
        <v>55009734</v>
      </c>
    </row>
    <row r="416" customFormat="false" ht="15" hidden="false" customHeight="false" outlineLevel="0" collapsed="false">
      <c r="A416" s="13" t="n">
        <v>45737</v>
      </c>
      <c r="B416" s="14" t="s">
        <v>44</v>
      </c>
      <c r="C416" s="15" t="n">
        <v>151.41</v>
      </c>
      <c r="D416" s="16" t="n">
        <v>14757649</v>
      </c>
    </row>
    <row r="417" customFormat="false" ht="15" hidden="false" customHeight="false" outlineLevel="0" collapsed="false">
      <c r="A417" s="13" t="n">
        <v>45740</v>
      </c>
      <c r="B417" s="14" t="s">
        <v>44</v>
      </c>
      <c r="C417" s="15" t="n">
        <v>150.91</v>
      </c>
      <c r="D417" s="16" t="n">
        <v>52913178</v>
      </c>
    </row>
    <row r="418" customFormat="false" ht="15" hidden="false" customHeight="false" outlineLevel="0" collapsed="false">
      <c r="A418" s="13" t="n">
        <v>45741</v>
      </c>
      <c r="B418" s="14" t="s">
        <v>44</v>
      </c>
      <c r="C418" s="15" t="n">
        <v>150.98</v>
      </c>
      <c r="D418" s="16" t="n">
        <v>14427105</v>
      </c>
    </row>
    <row r="419" customFormat="false" ht="15" hidden="false" customHeight="false" outlineLevel="0" collapsed="false">
      <c r="A419" s="13" t="n">
        <v>45742</v>
      </c>
      <c r="B419" s="14" t="s">
        <v>44</v>
      </c>
      <c r="C419" s="15" t="n">
        <v>153.56</v>
      </c>
      <c r="D419" s="16" t="n">
        <v>53418906</v>
      </c>
    </row>
    <row r="420" customFormat="false" ht="15" hidden="false" customHeight="false" outlineLevel="0" collapsed="false">
      <c r="A420" s="13" t="n">
        <v>45743</v>
      </c>
      <c r="B420" s="14" t="s">
        <v>44</v>
      </c>
      <c r="C420" s="15" t="n">
        <v>154.1</v>
      </c>
      <c r="D420" s="16" t="n">
        <v>39410879</v>
      </c>
    </row>
    <row r="421" customFormat="false" ht="15" hidden="false" customHeight="false" outlineLevel="0" collapsed="false">
      <c r="A421" s="13" t="n">
        <v>45744</v>
      </c>
      <c r="B421" s="14" t="s">
        <v>44</v>
      </c>
      <c r="C421" s="15" t="n">
        <v>153.8</v>
      </c>
      <c r="D421" s="16" t="n">
        <v>26146282</v>
      </c>
    </row>
    <row r="422" customFormat="false" ht="15" hidden="false" customHeight="false" outlineLevel="0" collapsed="false">
      <c r="A422" s="13" t="n">
        <v>45747</v>
      </c>
      <c r="B422" s="14" t="s">
        <v>44</v>
      </c>
      <c r="C422" s="15" t="n">
        <v>155.12</v>
      </c>
      <c r="D422" s="16" t="n">
        <v>7857658</v>
      </c>
    </row>
    <row r="423" customFormat="false" ht="15" hidden="false" customHeight="false" outlineLevel="0" collapsed="false">
      <c r="A423" s="13" t="n">
        <v>45748</v>
      </c>
      <c r="B423" s="14" t="s">
        <v>44</v>
      </c>
      <c r="C423" s="15" t="n">
        <v>151.7</v>
      </c>
      <c r="D423" s="16" t="n">
        <v>28915002</v>
      </c>
    </row>
    <row r="424" customFormat="false" ht="15" hidden="false" customHeight="false" outlineLevel="0" collapsed="false">
      <c r="A424" s="13" t="n">
        <v>45749</v>
      </c>
      <c r="B424" s="14" t="s">
        <v>44</v>
      </c>
      <c r="C424" s="15" t="n">
        <v>152.1</v>
      </c>
      <c r="D424" s="16" t="n">
        <v>1996530</v>
      </c>
    </row>
    <row r="425" customFormat="false" ht="15" hidden="false" customHeight="false" outlineLevel="0" collapsed="false">
      <c r="A425" s="13" t="n">
        <v>45750</v>
      </c>
      <c r="B425" s="14" t="s">
        <v>44</v>
      </c>
      <c r="C425" s="15" t="n">
        <v>153.32</v>
      </c>
      <c r="D425" s="16" t="n">
        <v>20378839</v>
      </c>
    </row>
    <row r="426" customFormat="false" ht="15" hidden="false" customHeight="false" outlineLevel="0" collapsed="false">
      <c r="A426" s="13" t="n">
        <v>45751</v>
      </c>
      <c r="B426" s="14" t="s">
        <v>44</v>
      </c>
      <c r="C426" s="15" t="n">
        <v>151.07</v>
      </c>
      <c r="D426" s="16" t="n">
        <v>40785651</v>
      </c>
    </row>
    <row r="427" customFormat="false" ht="15" hidden="false" customHeight="false" outlineLevel="0" collapsed="false">
      <c r="A427" s="13" t="n">
        <v>45754</v>
      </c>
      <c r="B427" s="14" t="s">
        <v>44</v>
      </c>
      <c r="C427" s="15" t="n">
        <v>152.85</v>
      </c>
      <c r="D427" s="16" t="n">
        <v>55440645</v>
      </c>
    </row>
    <row r="428" customFormat="false" ht="15" hidden="false" customHeight="false" outlineLevel="0" collapsed="false">
      <c r="A428" s="13" t="n">
        <v>45755</v>
      </c>
      <c r="B428" s="14" t="s">
        <v>44</v>
      </c>
      <c r="C428" s="15" t="n">
        <v>153.4</v>
      </c>
      <c r="D428" s="16" t="n">
        <v>12292148</v>
      </c>
    </row>
    <row r="429" customFormat="false" ht="15" hidden="false" customHeight="false" outlineLevel="0" collapsed="false">
      <c r="A429" s="13" t="n">
        <v>45756</v>
      </c>
      <c r="B429" s="14" t="s">
        <v>44</v>
      </c>
      <c r="C429" s="15" t="n">
        <v>152.8</v>
      </c>
      <c r="D429" s="16" t="n">
        <v>37919127</v>
      </c>
    </row>
    <row r="430" customFormat="false" ht="15" hidden="false" customHeight="false" outlineLevel="0" collapsed="false">
      <c r="A430" s="13" t="n">
        <v>45757</v>
      </c>
      <c r="B430" s="14" t="s">
        <v>44</v>
      </c>
      <c r="C430" s="15" t="n">
        <v>153.81</v>
      </c>
      <c r="D430" s="16" t="n">
        <v>13966064</v>
      </c>
    </row>
    <row r="431" customFormat="false" ht="15" hidden="false" customHeight="false" outlineLevel="0" collapsed="false">
      <c r="A431" s="13" t="n">
        <v>45758</v>
      </c>
      <c r="B431" s="14" t="s">
        <v>44</v>
      </c>
      <c r="C431" s="15" t="n">
        <v>157.37</v>
      </c>
      <c r="D431" s="16" t="n">
        <v>11580030</v>
      </c>
    </row>
    <row r="432" customFormat="false" ht="15" hidden="false" customHeight="false" outlineLevel="0" collapsed="false">
      <c r="A432" s="13" t="n">
        <v>45761</v>
      </c>
      <c r="B432" s="14" t="s">
        <v>44</v>
      </c>
      <c r="C432" s="15" t="n">
        <v>157.69</v>
      </c>
      <c r="D432" s="16" t="n">
        <v>52377130</v>
      </c>
    </row>
    <row r="433" customFormat="false" ht="15" hidden="false" customHeight="false" outlineLevel="0" collapsed="false">
      <c r="A433" s="13" t="n">
        <v>45762</v>
      </c>
      <c r="B433" s="14" t="s">
        <v>44</v>
      </c>
      <c r="C433" s="15" t="n">
        <v>158.12</v>
      </c>
      <c r="D433" s="16" t="n">
        <v>32199893</v>
      </c>
    </row>
    <row r="434" customFormat="false" ht="15" hidden="false" customHeight="false" outlineLevel="0" collapsed="false">
      <c r="A434" s="13" t="n">
        <v>45763</v>
      </c>
      <c r="B434" s="14" t="s">
        <v>44</v>
      </c>
      <c r="C434" s="15" t="n">
        <v>157.43</v>
      </c>
      <c r="D434" s="16" t="n">
        <v>6786265</v>
      </c>
    </row>
    <row r="435" customFormat="false" ht="15" hidden="false" customHeight="false" outlineLevel="0" collapsed="false">
      <c r="A435" s="13" t="n">
        <v>45764</v>
      </c>
      <c r="B435" s="14" t="s">
        <v>44</v>
      </c>
      <c r="C435" s="15" t="n">
        <v>156.12</v>
      </c>
      <c r="D435" s="16" t="n">
        <v>57240283</v>
      </c>
    </row>
    <row r="436" customFormat="false" ht="15" hidden="false" customHeight="false" outlineLevel="0" collapsed="false">
      <c r="A436" s="13" t="n">
        <v>45765</v>
      </c>
      <c r="B436" s="14" t="s">
        <v>44</v>
      </c>
      <c r="C436" s="15" t="n">
        <v>157.46</v>
      </c>
      <c r="D436" s="16" t="n">
        <v>42041777</v>
      </c>
    </row>
    <row r="437" customFormat="false" ht="15" hidden="false" customHeight="false" outlineLevel="0" collapsed="false">
      <c r="A437" s="13" t="n">
        <v>45768</v>
      </c>
      <c r="B437" s="14" t="s">
        <v>44</v>
      </c>
      <c r="C437" s="15" t="n">
        <v>156.14</v>
      </c>
      <c r="D437" s="16" t="n">
        <v>32299028</v>
      </c>
    </row>
    <row r="438" customFormat="false" ht="15" hidden="false" customHeight="false" outlineLevel="0" collapsed="false">
      <c r="A438" s="13" t="n">
        <v>45769</v>
      </c>
      <c r="B438" s="14" t="s">
        <v>44</v>
      </c>
      <c r="C438" s="15" t="n">
        <v>156.29</v>
      </c>
      <c r="D438" s="16" t="n">
        <v>27461126</v>
      </c>
    </row>
    <row r="439" customFormat="false" ht="15" hidden="false" customHeight="false" outlineLevel="0" collapsed="false">
      <c r="A439" s="13" t="n">
        <v>45770</v>
      </c>
      <c r="B439" s="14" t="s">
        <v>44</v>
      </c>
      <c r="C439" s="15" t="n">
        <v>155.58</v>
      </c>
      <c r="D439" s="16" t="n">
        <v>30168464</v>
      </c>
    </row>
    <row r="440" customFormat="false" ht="15" hidden="false" customHeight="false" outlineLevel="0" collapsed="false">
      <c r="A440" s="13" t="n">
        <v>45771</v>
      </c>
      <c r="B440" s="14" t="s">
        <v>44</v>
      </c>
      <c r="C440" s="15" t="n">
        <v>156.36</v>
      </c>
      <c r="D440" s="16" t="n">
        <v>35124883</v>
      </c>
    </row>
    <row r="441" customFormat="false" ht="15" hidden="false" customHeight="false" outlineLevel="0" collapsed="false">
      <c r="A441" s="13" t="n">
        <v>45772</v>
      </c>
      <c r="B441" s="14" t="s">
        <v>44</v>
      </c>
      <c r="C441" s="15" t="n">
        <v>156.93</v>
      </c>
      <c r="D441" s="16" t="n">
        <v>26185640</v>
      </c>
    </row>
    <row r="442" customFormat="false" ht="15" hidden="false" customHeight="false" outlineLevel="0" collapsed="false">
      <c r="A442" s="13" t="n">
        <v>45775</v>
      </c>
      <c r="B442" s="14" t="s">
        <v>44</v>
      </c>
      <c r="C442" s="15" t="n">
        <v>158.61</v>
      </c>
      <c r="D442" s="16" t="n">
        <v>35521776</v>
      </c>
    </row>
    <row r="443" customFormat="false" ht="15" hidden="false" customHeight="false" outlineLevel="0" collapsed="false">
      <c r="A443" s="13" t="n">
        <v>45776</v>
      </c>
      <c r="B443" s="14" t="s">
        <v>44</v>
      </c>
      <c r="C443" s="15" t="n">
        <v>157.83</v>
      </c>
      <c r="D443" s="16" t="n">
        <v>45798099</v>
      </c>
    </row>
    <row r="444" customFormat="false" ht="15" hidden="false" customHeight="false" outlineLevel="0" collapsed="false">
      <c r="A444" s="13" t="n">
        <v>45777</v>
      </c>
      <c r="B444" s="14" t="s">
        <v>44</v>
      </c>
      <c r="C444" s="15" t="n">
        <v>157.44</v>
      </c>
      <c r="D444" s="16" t="n">
        <v>36966581</v>
      </c>
    </row>
    <row r="445" customFormat="false" ht="15" hidden="false" customHeight="false" outlineLevel="0" collapsed="false">
      <c r="A445" s="13" t="n">
        <v>45778</v>
      </c>
      <c r="B445" s="14" t="s">
        <v>44</v>
      </c>
      <c r="C445" s="15" t="n">
        <v>155.92</v>
      </c>
      <c r="D445" s="16" t="n">
        <v>6398869</v>
      </c>
    </row>
    <row r="446" customFormat="false" ht="15" hidden="false" customHeight="false" outlineLevel="0" collapsed="false">
      <c r="A446" s="13" t="n">
        <v>45779</v>
      </c>
      <c r="B446" s="14" t="s">
        <v>44</v>
      </c>
      <c r="C446" s="15" t="n">
        <v>155.26</v>
      </c>
      <c r="D446" s="16" t="n">
        <v>32029723</v>
      </c>
    </row>
    <row r="447" customFormat="false" ht="15" hidden="false" customHeight="false" outlineLevel="0" collapsed="false">
      <c r="A447" s="13" t="n">
        <v>45782</v>
      </c>
      <c r="B447" s="14" t="s">
        <v>44</v>
      </c>
      <c r="C447" s="15" t="n">
        <v>155.89</v>
      </c>
      <c r="D447" s="16" t="n">
        <v>17405566</v>
      </c>
    </row>
    <row r="448" customFormat="false" ht="15" hidden="false" customHeight="false" outlineLevel="0" collapsed="false">
      <c r="A448" s="13" t="n">
        <v>45783</v>
      </c>
      <c r="B448" s="14" t="s">
        <v>44</v>
      </c>
      <c r="C448" s="15" t="n">
        <v>157.11</v>
      </c>
      <c r="D448" s="16" t="n">
        <v>54683900</v>
      </c>
    </row>
    <row r="449" customFormat="false" ht="15" hidden="false" customHeight="false" outlineLevel="0" collapsed="false">
      <c r="A449" s="13" t="n">
        <v>45784</v>
      </c>
      <c r="B449" s="14" t="s">
        <v>44</v>
      </c>
      <c r="C449" s="15" t="n">
        <v>155.69</v>
      </c>
      <c r="D449" s="16" t="n">
        <v>55064487</v>
      </c>
    </row>
    <row r="450" customFormat="false" ht="15" hidden="false" customHeight="false" outlineLevel="0" collapsed="false">
      <c r="A450" s="13" t="n">
        <v>45785</v>
      </c>
      <c r="B450" s="14" t="s">
        <v>44</v>
      </c>
      <c r="C450" s="15" t="n">
        <v>157.09</v>
      </c>
      <c r="D450" s="16" t="n">
        <v>10427504</v>
      </c>
    </row>
    <row r="451" customFormat="false" ht="15" hidden="false" customHeight="false" outlineLevel="0" collapsed="false">
      <c r="A451" s="13" t="n">
        <v>45786</v>
      </c>
      <c r="B451" s="14" t="s">
        <v>44</v>
      </c>
      <c r="C451" s="15" t="n">
        <v>159.28</v>
      </c>
      <c r="D451" s="16" t="n">
        <v>12686214</v>
      </c>
    </row>
    <row r="452" customFormat="false" ht="15" hidden="false" customHeight="false" outlineLevel="0" collapsed="false">
      <c r="A452" s="13" t="n">
        <v>45789</v>
      </c>
      <c r="B452" s="14" t="s">
        <v>44</v>
      </c>
      <c r="C452" s="15" t="n">
        <v>159.98</v>
      </c>
      <c r="D452" s="16" t="n">
        <v>8022336</v>
      </c>
    </row>
    <row r="453" customFormat="false" ht="15" hidden="false" customHeight="false" outlineLevel="0" collapsed="false">
      <c r="A453" s="13" t="n">
        <v>45790</v>
      </c>
      <c r="B453" s="14" t="s">
        <v>44</v>
      </c>
      <c r="C453" s="15" t="n">
        <v>163.04</v>
      </c>
      <c r="D453" s="16" t="n">
        <v>57100575</v>
      </c>
    </row>
    <row r="454" customFormat="false" ht="15" hidden="false" customHeight="false" outlineLevel="0" collapsed="false">
      <c r="A454" s="13" t="n">
        <v>45791</v>
      </c>
      <c r="B454" s="14" t="s">
        <v>44</v>
      </c>
      <c r="C454" s="15" t="n">
        <v>161.81</v>
      </c>
      <c r="D454" s="16" t="n">
        <v>20655820</v>
      </c>
    </row>
    <row r="455" customFormat="false" ht="15" hidden="false" customHeight="false" outlineLevel="0" collapsed="false">
      <c r="A455" s="13" t="n">
        <v>45792</v>
      </c>
      <c r="B455" s="14" t="s">
        <v>44</v>
      </c>
      <c r="C455" s="15" t="n">
        <v>159.82</v>
      </c>
      <c r="D455" s="16" t="n">
        <v>29746717</v>
      </c>
    </row>
    <row r="456" customFormat="false" ht="15" hidden="false" customHeight="false" outlineLevel="0" collapsed="false">
      <c r="A456" s="13" t="n">
        <v>45793</v>
      </c>
      <c r="B456" s="14" t="s">
        <v>44</v>
      </c>
      <c r="C456" s="15" t="n">
        <v>156.99</v>
      </c>
      <c r="D456" s="16" t="n">
        <v>22105074</v>
      </c>
    </row>
    <row r="457" customFormat="false" ht="15" hidden="false" customHeight="false" outlineLevel="0" collapsed="false">
      <c r="A457" s="13" t="n">
        <v>45796</v>
      </c>
      <c r="B457" s="14" t="s">
        <v>44</v>
      </c>
      <c r="C457" s="15" t="n">
        <v>159.4</v>
      </c>
      <c r="D457" s="16" t="n">
        <v>30122426</v>
      </c>
    </row>
    <row r="458" customFormat="false" ht="15" hidden="false" customHeight="false" outlineLevel="0" collapsed="false">
      <c r="A458" s="13" t="n">
        <v>45797</v>
      </c>
      <c r="B458" s="14" t="s">
        <v>44</v>
      </c>
      <c r="C458" s="15" t="n">
        <v>160.48</v>
      </c>
      <c r="D458" s="16" t="n">
        <v>13485559</v>
      </c>
    </row>
    <row r="459" customFormat="false" ht="15" hidden="false" customHeight="false" outlineLevel="0" collapsed="false">
      <c r="A459" s="13" t="n">
        <v>45798</v>
      </c>
      <c r="B459" s="14" t="s">
        <v>44</v>
      </c>
      <c r="C459" s="15" t="n">
        <v>160.43</v>
      </c>
      <c r="D459" s="16" t="n">
        <v>32908562</v>
      </c>
    </row>
    <row r="460" customFormat="false" ht="15" hidden="false" customHeight="false" outlineLevel="0" collapsed="false">
      <c r="A460" s="13" t="n">
        <v>45799</v>
      </c>
      <c r="B460" s="14" t="s">
        <v>44</v>
      </c>
      <c r="C460" s="15" t="n">
        <v>160.92</v>
      </c>
      <c r="D460" s="16" t="n">
        <v>25210749</v>
      </c>
    </row>
    <row r="461" customFormat="false" ht="15" hidden="false" customHeight="false" outlineLevel="0" collapsed="false">
      <c r="A461" s="13" t="n">
        <v>45800</v>
      </c>
      <c r="B461" s="14" t="s">
        <v>44</v>
      </c>
      <c r="C461" s="15" t="n">
        <v>159.14</v>
      </c>
      <c r="D461" s="16" t="n">
        <v>9652831</v>
      </c>
    </row>
    <row r="462" customFormat="false" ht="15" hidden="false" customHeight="false" outlineLevel="0" collapsed="false">
      <c r="A462" s="13" t="n">
        <v>45803</v>
      </c>
      <c r="B462" s="14" t="s">
        <v>44</v>
      </c>
      <c r="C462" s="15" t="n">
        <v>163.1</v>
      </c>
      <c r="D462" s="16" t="n">
        <v>14691164</v>
      </c>
    </row>
    <row r="463" customFormat="false" ht="15" hidden="false" customHeight="false" outlineLevel="0" collapsed="false">
      <c r="A463" s="13" t="n">
        <v>45804</v>
      </c>
      <c r="B463" s="14" t="s">
        <v>44</v>
      </c>
      <c r="C463" s="15" t="n">
        <v>163.35</v>
      </c>
      <c r="D463" s="16" t="n">
        <v>23761900</v>
      </c>
    </row>
    <row r="464" customFormat="false" ht="15" hidden="false" customHeight="false" outlineLevel="0" collapsed="false">
      <c r="A464" s="13" t="n">
        <v>45805</v>
      </c>
      <c r="B464" s="14" t="s">
        <v>44</v>
      </c>
      <c r="C464" s="15" t="n">
        <v>163.57</v>
      </c>
      <c r="D464" s="16" t="n">
        <v>12707868</v>
      </c>
    </row>
    <row r="465" customFormat="false" ht="15" hidden="false" customHeight="false" outlineLevel="0" collapsed="false">
      <c r="A465" s="13" t="n">
        <v>45806</v>
      </c>
      <c r="B465" s="14" t="s">
        <v>44</v>
      </c>
      <c r="C465" s="15" t="n">
        <v>164.8</v>
      </c>
      <c r="D465" s="16" t="n">
        <v>15246173</v>
      </c>
    </row>
    <row r="466" customFormat="false" ht="15" hidden="false" customHeight="false" outlineLevel="0" collapsed="false">
      <c r="A466" s="13" t="n">
        <v>45807</v>
      </c>
      <c r="B466" s="14" t="s">
        <v>44</v>
      </c>
      <c r="C466" s="15" t="n">
        <v>165.64</v>
      </c>
      <c r="D466" s="16" t="n">
        <v>37248719</v>
      </c>
    </row>
    <row r="467" customFormat="false" ht="15" hidden="false" customHeight="false" outlineLevel="0" collapsed="false">
      <c r="A467" s="13" t="n">
        <v>45810</v>
      </c>
      <c r="B467" s="14" t="s">
        <v>44</v>
      </c>
      <c r="C467" s="15" t="n">
        <v>166.05</v>
      </c>
      <c r="D467" s="16" t="n">
        <v>11055079</v>
      </c>
    </row>
    <row r="468" customFormat="false" ht="15" hidden="false" customHeight="false" outlineLevel="0" collapsed="false">
      <c r="A468" s="13" t="n">
        <v>45811</v>
      </c>
      <c r="B468" s="14" t="s">
        <v>44</v>
      </c>
      <c r="C468" s="15" t="n">
        <v>164.77</v>
      </c>
      <c r="D468" s="16" t="n">
        <v>41066066</v>
      </c>
    </row>
    <row r="469" customFormat="false" ht="15" hidden="false" customHeight="false" outlineLevel="0" collapsed="false">
      <c r="A469" s="13" t="n">
        <v>45812</v>
      </c>
      <c r="B469" s="14" t="s">
        <v>44</v>
      </c>
      <c r="C469" s="15" t="n">
        <v>165.59</v>
      </c>
      <c r="D469" s="16" t="n">
        <v>14781009</v>
      </c>
    </row>
    <row r="470" customFormat="false" ht="15" hidden="false" customHeight="false" outlineLevel="0" collapsed="false">
      <c r="A470" s="13" t="n">
        <v>45813</v>
      </c>
      <c r="B470" s="14" t="s">
        <v>44</v>
      </c>
      <c r="C470" s="15" t="n">
        <v>168.77</v>
      </c>
      <c r="D470" s="16" t="n">
        <v>55952704</v>
      </c>
    </row>
    <row r="471" customFormat="false" ht="15" hidden="false" customHeight="false" outlineLevel="0" collapsed="false">
      <c r="A471" s="13" t="n">
        <v>45814</v>
      </c>
      <c r="B471" s="14" t="s">
        <v>44</v>
      </c>
      <c r="C471" s="15" t="n">
        <v>171.1</v>
      </c>
      <c r="D471" s="16" t="n">
        <v>43531405</v>
      </c>
    </row>
    <row r="472" customFormat="false" ht="15" hidden="false" customHeight="false" outlineLevel="0" collapsed="false">
      <c r="A472" s="13" t="n">
        <v>45817</v>
      </c>
      <c r="B472" s="14" t="s">
        <v>44</v>
      </c>
      <c r="C472" s="15" t="n">
        <v>173.89</v>
      </c>
      <c r="D472" s="16" t="n">
        <v>47962034</v>
      </c>
    </row>
    <row r="473" customFormat="false" ht="15" hidden="false" customHeight="false" outlineLevel="0" collapsed="false">
      <c r="A473" s="13" t="n">
        <v>45818</v>
      </c>
      <c r="B473" s="14" t="s">
        <v>44</v>
      </c>
      <c r="C473" s="15" t="n">
        <v>173.04</v>
      </c>
      <c r="D473" s="16" t="n">
        <v>1703662</v>
      </c>
    </row>
    <row r="474" customFormat="false" ht="15" hidden="false" customHeight="false" outlineLevel="0" collapsed="false">
      <c r="A474" s="13" t="n">
        <v>45819</v>
      </c>
      <c r="B474" s="14" t="s">
        <v>44</v>
      </c>
      <c r="C474" s="15" t="n">
        <v>171.35</v>
      </c>
      <c r="D474" s="16" t="n">
        <v>52637233</v>
      </c>
    </row>
    <row r="475" customFormat="false" ht="15" hidden="false" customHeight="false" outlineLevel="0" collapsed="false">
      <c r="A475" s="13" t="n">
        <v>45820</v>
      </c>
      <c r="B475" s="14" t="s">
        <v>44</v>
      </c>
      <c r="C475" s="15" t="n">
        <v>171.18</v>
      </c>
      <c r="D475" s="16" t="n">
        <v>38646529</v>
      </c>
    </row>
    <row r="476" customFormat="false" ht="15" hidden="false" customHeight="false" outlineLevel="0" collapsed="false">
      <c r="A476" s="13" t="n">
        <v>45821</v>
      </c>
      <c r="B476" s="14" t="s">
        <v>44</v>
      </c>
      <c r="C476" s="15" t="n">
        <v>171.31</v>
      </c>
      <c r="D476" s="16" t="n">
        <v>14769205</v>
      </c>
    </row>
    <row r="477" customFormat="false" ht="15" hidden="false" customHeight="false" outlineLevel="0" collapsed="false">
      <c r="A477" s="13" t="n">
        <v>45824</v>
      </c>
      <c r="B477" s="14" t="s">
        <v>44</v>
      </c>
      <c r="C477" s="15" t="n">
        <v>173.24</v>
      </c>
      <c r="D477" s="16" t="n">
        <v>15013403</v>
      </c>
    </row>
    <row r="478" customFormat="false" ht="15" hidden="false" customHeight="false" outlineLevel="0" collapsed="false">
      <c r="A478" s="13" t="n">
        <v>45825</v>
      </c>
      <c r="B478" s="14" t="s">
        <v>44</v>
      </c>
      <c r="C478" s="15" t="n">
        <v>170.33</v>
      </c>
      <c r="D478" s="16" t="n">
        <v>53991088</v>
      </c>
    </row>
    <row r="479" customFormat="false" ht="15" hidden="false" customHeight="false" outlineLevel="0" collapsed="false">
      <c r="A479" s="13" t="n">
        <v>45826</v>
      </c>
      <c r="B479" s="14" t="s">
        <v>44</v>
      </c>
      <c r="C479" s="15" t="n">
        <v>172.99</v>
      </c>
      <c r="D479" s="16" t="n">
        <v>44542641</v>
      </c>
    </row>
    <row r="480" customFormat="false" ht="15" hidden="false" customHeight="false" outlineLevel="0" collapsed="false">
      <c r="A480" s="13" t="n">
        <v>45827</v>
      </c>
      <c r="B480" s="14" t="s">
        <v>44</v>
      </c>
      <c r="C480" s="15" t="n">
        <v>172.76</v>
      </c>
      <c r="D480" s="16" t="n">
        <v>55275293</v>
      </c>
    </row>
    <row r="481" customFormat="false" ht="15" hidden="false" customHeight="false" outlineLevel="0" collapsed="false">
      <c r="A481" s="13" t="n">
        <v>45828</v>
      </c>
      <c r="B481" s="14" t="s">
        <v>44</v>
      </c>
      <c r="C481" s="15" t="n">
        <v>172.06</v>
      </c>
      <c r="D481" s="16" t="n">
        <v>55826661</v>
      </c>
    </row>
    <row r="482" customFormat="false" ht="15" hidden="false" customHeight="false" outlineLevel="0" collapsed="false">
      <c r="A482" s="13" t="n">
        <v>45719</v>
      </c>
      <c r="B482" s="14" t="s">
        <v>46</v>
      </c>
      <c r="C482" s="15" t="n">
        <v>60</v>
      </c>
      <c r="D482" s="16" t="n">
        <v>44470977</v>
      </c>
    </row>
    <row r="483" customFormat="false" ht="15" hidden="false" customHeight="false" outlineLevel="0" collapsed="false">
      <c r="A483" s="13" t="n">
        <v>45720</v>
      </c>
      <c r="B483" s="14" t="s">
        <v>46</v>
      </c>
      <c r="C483" s="15" t="n">
        <v>60.24</v>
      </c>
      <c r="D483" s="16" t="n">
        <v>44092987</v>
      </c>
    </row>
    <row r="484" customFormat="false" ht="15" hidden="false" customHeight="false" outlineLevel="0" collapsed="false">
      <c r="A484" s="13" t="n">
        <v>45721</v>
      </c>
      <c r="B484" s="14" t="s">
        <v>46</v>
      </c>
      <c r="C484" s="15" t="n">
        <v>59.74</v>
      </c>
      <c r="D484" s="16" t="n">
        <v>24631669</v>
      </c>
    </row>
    <row r="485" customFormat="false" ht="15" hidden="false" customHeight="false" outlineLevel="0" collapsed="false">
      <c r="A485" s="13" t="n">
        <v>45722</v>
      </c>
      <c r="B485" s="14" t="s">
        <v>46</v>
      </c>
      <c r="C485" s="15" t="n">
        <v>59.56</v>
      </c>
      <c r="D485" s="16" t="n">
        <v>16713642</v>
      </c>
    </row>
    <row r="486" customFormat="false" ht="15" hidden="false" customHeight="false" outlineLevel="0" collapsed="false">
      <c r="A486" s="13" t="n">
        <v>45723</v>
      </c>
      <c r="B486" s="14" t="s">
        <v>46</v>
      </c>
      <c r="C486" s="15" t="n">
        <v>58.83</v>
      </c>
      <c r="D486" s="16" t="n">
        <v>54669568</v>
      </c>
    </row>
    <row r="487" customFormat="false" ht="15" hidden="false" customHeight="false" outlineLevel="0" collapsed="false">
      <c r="A487" s="13" t="n">
        <v>45726</v>
      </c>
      <c r="B487" s="14" t="s">
        <v>46</v>
      </c>
      <c r="C487" s="15" t="n">
        <v>59.67</v>
      </c>
      <c r="D487" s="16" t="n">
        <v>21073266</v>
      </c>
    </row>
    <row r="488" customFormat="false" ht="15" hidden="false" customHeight="false" outlineLevel="0" collapsed="false">
      <c r="A488" s="13" t="n">
        <v>45727</v>
      </c>
      <c r="B488" s="14" t="s">
        <v>46</v>
      </c>
      <c r="C488" s="15" t="n">
        <v>59.74</v>
      </c>
      <c r="D488" s="16" t="n">
        <v>53449972</v>
      </c>
    </row>
    <row r="489" customFormat="false" ht="15" hidden="false" customHeight="false" outlineLevel="0" collapsed="false">
      <c r="A489" s="13" t="n">
        <v>45728</v>
      </c>
      <c r="B489" s="14" t="s">
        <v>46</v>
      </c>
      <c r="C489" s="15" t="n">
        <v>60.62</v>
      </c>
      <c r="D489" s="16" t="n">
        <v>41381731</v>
      </c>
    </row>
    <row r="490" customFormat="false" ht="15" hidden="false" customHeight="false" outlineLevel="0" collapsed="false">
      <c r="A490" s="13" t="n">
        <v>45729</v>
      </c>
      <c r="B490" s="14" t="s">
        <v>46</v>
      </c>
      <c r="C490" s="15" t="n">
        <v>61.76</v>
      </c>
      <c r="D490" s="16" t="n">
        <v>24025010</v>
      </c>
    </row>
    <row r="491" customFormat="false" ht="15" hidden="false" customHeight="false" outlineLevel="0" collapsed="false">
      <c r="A491" s="13" t="n">
        <v>45730</v>
      </c>
      <c r="B491" s="14" t="s">
        <v>46</v>
      </c>
      <c r="C491" s="15" t="n">
        <v>59.75</v>
      </c>
      <c r="D491" s="16" t="n">
        <v>48133465</v>
      </c>
    </row>
    <row r="492" customFormat="false" ht="15" hidden="false" customHeight="false" outlineLevel="0" collapsed="false">
      <c r="A492" s="13" t="n">
        <v>45733</v>
      </c>
      <c r="B492" s="14" t="s">
        <v>46</v>
      </c>
      <c r="C492" s="15" t="n">
        <v>59.07</v>
      </c>
      <c r="D492" s="16" t="n">
        <v>25694812</v>
      </c>
    </row>
    <row r="493" customFormat="false" ht="15" hidden="false" customHeight="false" outlineLevel="0" collapsed="false">
      <c r="A493" s="13" t="n">
        <v>45734</v>
      </c>
      <c r="B493" s="14" t="s">
        <v>46</v>
      </c>
      <c r="C493" s="15" t="n">
        <v>58.54</v>
      </c>
      <c r="D493" s="16" t="n">
        <v>39457098</v>
      </c>
    </row>
    <row r="494" customFormat="false" ht="15" hidden="false" customHeight="false" outlineLevel="0" collapsed="false">
      <c r="A494" s="13" t="n">
        <v>45735</v>
      </c>
      <c r="B494" s="14" t="s">
        <v>46</v>
      </c>
      <c r="C494" s="15" t="n">
        <v>60.83</v>
      </c>
      <c r="D494" s="16" t="n">
        <v>32970599</v>
      </c>
    </row>
    <row r="495" customFormat="false" ht="15" hidden="false" customHeight="false" outlineLevel="0" collapsed="false">
      <c r="A495" s="13" t="n">
        <v>45736</v>
      </c>
      <c r="B495" s="14" t="s">
        <v>46</v>
      </c>
      <c r="C495" s="15" t="n">
        <v>60.99</v>
      </c>
      <c r="D495" s="16" t="n">
        <v>52207679</v>
      </c>
    </row>
    <row r="496" customFormat="false" ht="15" hidden="false" customHeight="false" outlineLevel="0" collapsed="false">
      <c r="A496" s="13" t="n">
        <v>45737</v>
      </c>
      <c r="B496" s="14" t="s">
        <v>46</v>
      </c>
      <c r="C496" s="15" t="n">
        <v>61.75</v>
      </c>
      <c r="D496" s="16" t="n">
        <v>40787171</v>
      </c>
    </row>
    <row r="497" customFormat="false" ht="15" hidden="false" customHeight="false" outlineLevel="0" collapsed="false">
      <c r="A497" s="13" t="n">
        <v>45740</v>
      </c>
      <c r="B497" s="14" t="s">
        <v>46</v>
      </c>
      <c r="C497" s="15" t="n">
        <v>60.02</v>
      </c>
      <c r="D497" s="16" t="n">
        <v>2270896</v>
      </c>
    </row>
    <row r="498" customFormat="false" ht="15" hidden="false" customHeight="false" outlineLevel="0" collapsed="false">
      <c r="A498" s="13" t="n">
        <v>45741</v>
      </c>
      <c r="B498" s="14" t="s">
        <v>46</v>
      </c>
      <c r="C498" s="15" t="n">
        <v>60.17</v>
      </c>
      <c r="D498" s="16" t="n">
        <v>12952314</v>
      </c>
    </row>
    <row r="499" customFormat="false" ht="15" hidden="false" customHeight="false" outlineLevel="0" collapsed="false">
      <c r="A499" s="13" t="n">
        <v>45742</v>
      </c>
      <c r="B499" s="14" t="s">
        <v>46</v>
      </c>
      <c r="C499" s="15" t="n">
        <v>61.08</v>
      </c>
      <c r="D499" s="16" t="n">
        <v>2059622</v>
      </c>
    </row>
    <row r="500" customFormat="false" ht="15" hidden="false" customHeight="false" outlineLevel="0" collapsed="false">
      <c r="A500" s="13" t="n">
        <v>45743</v>
      </c>
      <c r="B500" s="14" t="s">
        <v>46</v>
      </c>
      <c r="C500" s="15" t="n">
        <v>61.89</v>
      </c>
      <c r="D500" s="16" t="n">
        <v>5422375</v>
      </c>
    </row>
    <row r="501" customFormat="false" ht="15" hidden="false" customHeight="false" outlineLevel="0" collapsed="false">
      <c r="A501" s="13" t="n">
        <v>45744</v>
      </c>
      <c r="B501" s="14" t="s">
        <v>46</v>
      </c>
      <c r="C501" s="15" t="n">
        <v>62.49</v>
      </c>
      <c r="D501" s="16" t="n">
        <v>17770274</v>
      </c>
    </row>
    <row r="502" customFormat="false" ht="15" hidden="false" customHeight="false" outlineLevel="0" collapsed="false">
      <c r="A502" s="13" t="n">
        <v>45747</v>
      </c>
      <c r="B502" s="14" t="s">
        <v>46</v>
      </c>
      <c r="C502" s="15" t="n">
        <v>62.53</v>
      </c>
      <c r="D502" s="16" t="n">
        <v>51709813</v>
      </c>
    </row>
    <row r="503" customFormat="false" ht="15" hidden="false" customHeight="false" outlineLevel="0" collapsed="false">
      <c r="A503" s="13" t="n">
        <v>45748</v>
      </c>
      <c r="B503" s="14" t="s">
        <v>46</v>
      </c>
      <c r="C503" s="15" t="n">
        <v>62.6</v>
      </c>
      <c r="D503" s="16" t="n">
        <v>32354977</v>
      </c>
    </row>
    <row r="504" customFormat="false" ht="15" hidden="false" customHeight="false" outlineLevel="0" collapsed="false">
      <c r="A504" s="13" t="n">
        <v>45749</v>
      </c>
      <c r="B504" s="14" t="s">
        <v>46</v>
      </c>
      <c r="C504" s="15" t="n">
        <v>61.02</v>
      </c>
      <c r="D504" s="16" t="n">
        <v>26874486</v>
      </c>
    </row>
    <row r="505" customFormat="false" ht="15" hidden="false" customHeight="false" outlineLevel="0" collapsed="false">
      <c r="A505" s="13" t="n">
        <v>45750</v>
      </c>
      <c r="B505" s="14" t="s">
        <v>46</v>
      </c>
      <c r="C505" s="15" t="n">
        <v>60.21</v>
      </c>
      <c r="D505" s="16" t="n">
        <v>32873646</v>
      </c>
    </row>
    <row r="506" customFormat="false" ht="15" hidden="false" customHeight="false" outlineLevel="0" collapsed="false">
      <c r="A506" s="13" t="n">
        <v>45751</v>
      </c>
      <c r="B506" s="14" t="s">
        <v>46</v>
      </c>
      <c r="C506" s="15" t="n">
        <v>60.44</v>
      </c>
      <c r="D506" s="16" t="n">
        <v>5131479</v>
      </c>
    </row>
    <row r="507" customFormat="false" ht="15" hidden="false" customHeight="false" outlineLevel="0" collapsed="false">
      <c r="A507" s="13" t="n">
        <v>45754</v>
      </c>
      <c r="B507" s="14" t="s">
        <v>46</v>
      </c>
      <c r="C507" s="15" t="n">
        <v>59.8</v>
      </c>
      <c r="D507" s="16" t="n">
        <v>43955157</v>
      </c>
    </row>
    <row r="508" customFormat="false" ht="15" hidden="false" customHeight="false" outlineLevel="0" collapsed="false">
      <c r="A508" s="13" t="n">
        <v>45755</v>
      </c>
      <c r="B508" s="14" t="s">
        <v>46</v>
      </c>
      <c r="C508" s="15" t="n">
        <v>60.45</v>
      </c>
      <c r="D508" s="16" t="n">
        <v>51746656</v>
      </c>
    </row>
    <row r="509" customFormat="false" ht="15" hidden="false" customHeight="false" outlineLevel="0" collapsed="false">
      <c r="A509" s="13" t="n">
        <v>45756</v>
      </c>
      <c r="B509" s="14" t="s">
        <v>46</v>
      </c>
      <c r="C509" s="15" t="n">
        <v>60.89</v>
      </c>
      <c r="D509" s="16" t="n">
        <v>19409209</v>
      </c>
    </row>
    <row r="510" customFormat="false" ht="15" hidden="false" customHeight="false" outlineLevel="0" collapsed="false">
      <c r="A510" s="13" t="n">
        <v>45757</v>
      </c>
      <c r="B510" s="14" t="s">
        <v>46</v>
      </c>
      <c r="C510" s="15" t="n">
        <v>62.17</v>
      </c>
      <c r="D510" s="16" t="n">
        <v>37905710</v>
      </c>
    </row>
    <row r="511" customFormat="false" ht="15" hidden="false" customHeight="false" outlineLevel="0" collapsed="false">
      <c r="A511" s="13" t="n">
        <v>45758</v>
      </c>
      <c r="B511" s="14" t="s">
        <v>46</v>
      </c>
      <c r="C511" s="15" t="n">
        <v>63.09</v>
      </c>
      <c r="D511" s="16" t="n">
        <v>53673683</v>
      </c>
    </row>
    <row r="512" customFormat="false" ht="15" hidden="false" customHeight="false" outlineLevel="0" collapsed="false">
      <c r="A512" s="13" t="n">
        <v>45761</v>
      </c>
      <c r="B512" s="14" t="s">
        <v>46</v>
      </c>
      <c r="C512" s="15" t="n">
        <v>63.33</v>
      </c>
      <c r="D512" s="16" t="n">
        <v>25755666</v>
      </c>
    </row>
    <row r="513" customFormat="false" ht="15" hidden="false" customHeight="false" outlineLevel="0" collapsed="false">
      <c r="A513" s="13" t="n">
        <v>45762</v>
      </c>
      <c r="B513" s="14" t="s">
        <v>46</v>
      </c>
      <c r="C513" s="15" t="n">
        <v>64.06</v>
      </c>
      <c r="D513" s="16" t="n">
        <v>6703394</v>
      </c>
    </row>
    <row r="514" customFormat="false" ht="15" hidden="false" customHeight="false" outlineLevel="0" collapsed="false">
      <c r="A514" s="13" t="n">
        <v>45763</v>
      </c>
      <c r="B514" s="14" t="s">
        <v>46</v>
      </c>
      <c r="C514" s="15" t="n">
        <v>65.06</v>
      </c>
      <c r="D514" s="16" t="n">
        <v>58572595</v>
      </c>
    </row>
    <row r="515" customFormat="false" ht="15" hidden="false" customHeight="false" outlineLevel="0" collapsed="false">
      <c r="A515" s="13" t="n">
        <v>45764</v>
      </c>
      <c r="B515" s="14" t="s">
        <v>46</v>
      </c>
      <c r="C515" s="15" t="n">
        <v>64.58</v>
      </c>
      <c r="D515" s="16" t="n">
        <v>20545578</v>
      </c>
    </row>
    <row r="516" customFormat="false" ht="15" hidden="false" customHeight="false" outlineLevel="0" collapsed="false">
      <c r="A516" s="13" t="n">
        <v>45765</v>
      </c>
      <c r="B516" s="14" t="s">
        <v>46</v>
      </c>
      <c r="C516" s="15" t="n">
        <v>64.28</v>
      </c>
      <c r="D516" s="16" t="n">
        <v>12415376</v>
      </c>
    </row>
    <row r="517" customFormat="false" ht="15" hidden="false" customHeight="false" outlineLevel="0" collapsed="false">
      <c r="A517" s="13" t="n">
        <v>45768</v>
      </c>
      <c r="B517" s="14" t="s">
        <v>46</v>
      </c>
      <c r="C517" s="15" t="n">
        <v>64.2</v>
      </c>
      <c r="D517" s="16" t="n">
        <v>52502013</v>
      </c>
    </row>
    <row r="518" customFormat="false" ht="15" hidden="false" customHeight="false" outlineLevel="0" collapsed="false">
      <c r="A518" s="13" t="n">
        <v>45769</v>
      </c>
      <c r="B518" s="14" t="s">
        <v>46</v>
      </c>
      <c r="C518" s="15" t="n">
        <v>63.76</v>
      </c>
      <c r="D518" s="16" t="n">
        <v>10068026</v>
      </c>
    </row>
    <row r="519" customFormat="false" ht="15" hidden="false" customHeight="false" outlineLevel="0" collapsed="false">
      <c r="A519" s="13" t="n">
        <v>45770</v>
      </c>
      <c r="B519" s="14" t="s">
        <v>46</v>
      </c>
      <c r="C519" s="15" t="n">
        <v>64.76</v>
      </c>
      <c r="D519" s="16" t="n">
        <v>14283692</v>
      </c>
    </row>
    <row r="520" customFormat="false" ht="15" hidden="false" customHeight="false" outlineLevel="0" collapsed="false">
      <c r="A520" s="13" t="n">
        <v>45771</v>
      </c>
      <c r="B520" s="14" t="s">
        <v>46</v>
      </c>
      <c r="C520" s="15" t="n">
        <v>64.17</v>
      </c>
      <c r="D520" s="16" t="n">
        <v>27280417</v>
      </c>
    </row>
    <row r="521" customFormat="false" ht="15" hidden="false" customHeight="false" outlineLevel="0" collapsed="false">
      <c r="A521" s="13" t="n">
        <v>45772</v>
      </c>
      <c r="B521" s="14" t="s">
        <v>46</v>
      </c>
      <c r="C521" s="15" t="n">
        <v>65.4</v>
      </c>
      <c r="D521" s="16" t="n">
        <v>23708377</v>
      </c>
    </row>
    <row r="522" customFormat="false" ht="15" hidden="false" customHeight="false" outlineLevel="0" collapsed="false">
      <c r="A522" s="13" t="n">
        <v>45775</v>
      </c>
      <c r="B522" s="14" t="s">
        <v>46</v>
      </c>
      <c r="C522" s="15" t="n">
        <v>65.06</v>
      </c>
      <c r="D522" s="16" t="n">
        <v>24567809</v>
      </c>
    </row>
    <row r="523" customFormat="false" ht="15" hidden="false" customHeight="false" outlineLevel="0" collapsed="false">
      <c r="A523" s="13" t="n">
        <v>45776</v>
      </c>
      <c r="B523" s="14" t="s">
        <v>46</v>
      </c>
      <c r="C523" s="15" t="n">
        <v>65.55</v>
      </c>
      <c r="D523" s="16" t="n">
        <v>56182836</v>
      </c>
    </row>
    <row r="524" customFormat="false" ht="15" hidden="false" customHeight="false" outlineLevel="0" collapsed="false">
      <c r="A524" s="13" t="n">
        <v>45777</v>
      </c>
      <c r="B524" s="14" t="s">
        <v>46</v>
      </c>
      <c r="C524" s="15" t="n">
        <v>65.73</v>
      </c>
      <c r="D524" s="16" t="n">
        <v>3721864</v>
      </c>
    </row>
    <row r="525" customFormat="false" ht="15" hidden="false" customHeight="false" outlineLevel="0" collapsed="false">
      <c r="A525" s="13" t="n">
        <v>45778</v>
      </c>
      <c r="B525" s="14" t="s">
        <v>46</v>
      </c>
      <c r="C525" s="15" t="n">
        <v>64.78</v>
      </c>
      <c r="D525" s="16" t="n">
        <v>55278856</v>
      </c>
    </row>
    <row r="526" customFormat="false" ht="15" hidden="false" customHeight="false" outlineLevel="0" collapsed="false">
      <c r="A526" s="13" t="n">
        <v>45779</v>
      </c>
      <c r="B526" s="14" t="s">
        <v>46</v>
      </c>
      <c r="C526" s="15" t="n">
        <v>64.78</v>
      </c>
      <c r="D526" s="16" t="n">
        <v>34458471</v>
      </c>
    </row>
    <row r="527" customFormat="false" ht="15" hidden="false" customHeight="false" outlineLevel="0" collapsed="false">
      <c r="A527" s="13" t="n">
        <v>45782</v>
      </c>
      <c r="B527" s="14" t="s">
        <v>46</v>
      </c>
      <c r="C527" s="15" t="n">
        <v>65.13</v>
      </c>
      <c r="D527" s="16" t="n">
        <v>41539152</v>
      </c>
    </row>
    <row r="528" customFormat="false" ht="15" hidden="false" customHeight="false" outlineLevel="0" collapsed="false">
      <c r="A528" s="13" t="n">
        <v>45783</v>
      </c>
      <c r="B528" s="14" t="s">
        <v>46</v>
      </c>
      <c r="C528" s="15" t="n">
        <v>65.09</v>
      </c>
      <c r="D528" s="16" t="n">
        <v>29104320</v>
      </c>
    </row>
    <row r="529" customFormat="false" ht="15" hidden="false" customHeight="false" outlineLevel="0" collapsed="false">
      <c r="A529" s="13" t="n">
        <v>45784</v>
      </c>
      <c r="B529" s="14" t="s">
        <v>46</v>
      </c>
      <c r="C529" s="15" t="n">
        <v>63.79</v>
      </c>
      <c r="D529" s="16" t="n">
        <v>48744216</v>
      </c>
    </row>
    <row r="530" customFormat="false" ht="15" hidden="false" customHeight="false" outlineLevel="0" collapsed="false">
      <c r="A530" s="13" t="n">
        <v>45785</v>
      </c>
      <c r="B530" s="14" t="s">
        <v>46</v>
      </c>
      <c r="C530" s="15" t="n">
        <v>65.45</v>
      </c>
      <c r="D530" s="16" t="n">
        <v>8733308</v>
      </c>
    </row>
    <row r="531" customFormat="false" ht="15" hidden="false" customHeight="false" outlineLevel="0" collapsed="false">
      <c r="A531" s="13" t="n">
        <v>45786</v>
      </c>
      <c r="B531" s="14" t="s">
        <v>46</v>
      </c>
      <c r="C531" s="15" t="n">
        <v>65.56</v>
      </c>
      <c r="D531" s="16" t="n">
        <v>4875754</v>
      </c>
    </row>
    <row r="532" customFormat="false" ht="15" hidden="false" customHeight="false" outlineLevel="0" collapsed="false">
      <c r="A532" s="13" t="n">
        <v>45789</v>
      </c>
      <c r="B532" s="14" t="s">
        <v>46</v>
      </c>
      <c r="C532" s="15" t="n">
        <v>64.79</v>
      </c>
      <c r="D532" s="16" t="n">
        <v>20482215</v>
      </c>
    </row>
    <row r="533" customFormat="false" ht="15" hidden="false" customHeight="false" outlineLevel="0" collapsed="false">
      <c r="A533" s="13" t="n">
        <v>45790</v>
      </c>
      <c r="B533" s="14" t="s">
        <v>46</v>
      </c>
      <c r="C533" s="15" t="n">
        <v>66.4</v>
      </c>
      <c r="D533" s="16" t="n">
        <v>56629865</v>
      </c>
    </row>
    <row r="534" customFormat="false" ht="15" hidden="false" customHeight="false" outlineLevel="0" collapsed="false">
      <c r="A534" s="13" t="n">
        <v>45791</v>
      </c>
      <c r="B534" s="14" t="s">
        <v>46</v>
      </c>
      <c r="C534" s="15" t="n">
        <v>67.04</v>
      </c>
      <c r="D534" s="16" t="n">
        <v>29160024</v>
      </c>
    </row>
    <row r="535" customFormat="false" ht="15" hidden="false" customHeight="false" outlineLevel="0" collapsed="false">
      <c r="A535" s="13" t="n">
        <v>45792</v>
      </c>
      <c r="B535" s="14" t="s">
        <v>46</v>
      </c>
      <c r="C535" s="15" t="n">
        <v>65.84</v>
      </c>
      <c r="D535" s="16" t="n">
        <v>52655718</v>
      </c>
    </row>
    <row r="536" customFormat="false" ht="15" hidden="false" customHeight="false" outlineLevel="0" collapsed="false">
      <c r="A536" s="13" t="n">
        <v>45793</v>
      </c>
      <c r="B536" s="14" t="s">
        <v>46</v>
      </c>
      <c r="C536" s="15" t="n">
        <v>64.83</v>
      </c>
      <c r="D536" s="16" t="n">
        <v>58696034</v>
      </c>
    </row>
    <row r="537" customFormat="false" ht="15" hidden="false" customHeight="false" outlineLevel="0" collapsed="false">
      <c r="A537" s="13" t="n">
        <v>45796</v>
      </c>
      <c r="B537" s="14" t="s">
        <v>46</v>
      </c>
      <c r="C537" s="15" t="n">
        <v>64.63</v>
      </c>
      <c r="D537" s="16" t="n">
        <v>29356738</v>
      </c>
    </row>
    <row r="538" customFormat="false" ht="15" hidden="false" customHeight="false" outlineLevel="0" collapsed="false">
      <c r="A538" s="13" t="n">
        <v>45797</v>
      </c>
      <c r="B538" s="14" t="s">
        <v>46</v>
      </c>
      <c r="C538" s="15" t="n">
        <v>64.94</v>
      </c>
      <c r="D538" s="16" t="n">
        <v>11912996</v>
      </c>
    </row>
    <row r="539" customFormat="false" ht="15" hidden="false" customHeight="false" outlineLevel="0" collapsed="false">
      <c r="A539" s="13" t="n">
        <v>45798</v>
      </c>
      <c r="B539" s="14" t="s">
        <v>46</v>
      </c>
      <c r="C539" s="15" t="n">
        <v>65.57</v>
      </c>
      <c r="D539" s="16" t="n">
        <v>11047595</v>
      </c>
    </row>
    <row r="540" customFormat="false" ht="15" hidden="false" customHeight="false" outlineLevel="0" collapsed="false">
      <c r="A540" s="13" t="n">
        <v>45799</v>
      </c>
      <c r="B540" s="14" t="s">
        <v>46</v>
      </c>
      <c r="C540" s="15" t="n">
        <v>66.53</v>
      </c>
      <c r="D540" s="16" t="n">
        <v>31908587</v>
      </c>
    </row>
    <row r="541" customFormat="false" ht="15" hidden="false" customHeight="false" outlineLevel="0" collapsed="false">
      <c r="A541" s="13" t="n">
        <v>45800</v>
      </c>
      <c r="B541" s="14" t="s">
        <v>46</v>
      </c>
      <c r="C541" s="15" t="n">
        <v>67.1</v>
      </c>
      <c r="D541" s="16" t="n">
        <v>29003805</v>
      </c>
    </row>
    <row r="542" customFormat="false" ht="15" hidden="false" customHeight="false" outlineLevel="0" collapsed="false">
      <c r="A542" s="13" t="n">
        <v>45803</v>
      </c>
      <c r="B542" s="14" t="s">
        <v>46</v>
      </c>
      <c r="C542" s="15" t="n">
        <v>68.49</v>
      </c>
      <c r="D542" s="16" t="n">
        <v>23564965</v>
      </c>
    </row>
    <row r="543" customFormat="false" ht="15" hidden="false" customHeight="false" outlineLevel="0" collapsed="false">
      <c r="A543" s="13" t="n">
        <v>45804</v>
      </c>
      <c r="B543" s="14" t="s">
        <v>46</v>
      </c>
      <c r="C543" s="15" t="n">
        <v>68.64</v>
      </c>
      <c r="D543" s="16" t="n">
        <v>52993441</v>
      </c>
    </row>
    <row r="544" customFormat="false" ht="15" hidden="false" customHeight="false" outlineLevel="0" collapsed="false">
      <c r="A544" s="13" t="n">
        <v>45805</v>
      </c>
      <c r="B544" s="14" t="s">
        <v>46</v>
      </c>
      <c r="C544" s="15" t="n">
        <v>67.87</v>
      </c>
      <c r="D544" s="16" t="n">
        <v>41131083</v>
      </c>
    </row>
    <row r="545" customFormat="false" ht="15" hidden="false" customHeight="false" outlineLevel="0" collapsed="false">
      <c r="A545" s="13" t="n">
        <v>45806</v>
      </c>
      <c r="B545" s="14" t="s">
        <v>46</v>
      </c>
      <c r="C545" s="15" t="n">
        <v>67.89</v>
      </c>
      <c r="D545" s="16" t="n">
        <v>7867218</v>
      </c>
    </row>
    <row r="546" customFormat="false" ht="15" hidden="false" customHeight="false" outlineLevel="0" collapsed="false">
      <c r="A546" s="13" t="n">
        <v>45807</v>
      </c>
      <c r="B546" s="14" t="s">
        <v>46</v>
      </c>
      <c r="C546" s="15" t="n">
        <v>67.84</v>
      </c>
      <c r="D546" s="16" t="n">
        <v>10004644</v>
      </c>
    </row>
    <row r="547" customFormat="false" ht="15" hidden="false" customHeight="false" outlineLevel="0" collapsed="false">
      <c r="A547" s="13" t="n">
        <v>45810</v>
      </c>
      <c r="B547" s="14" t="s">
        <v>46</v>
      </c>
      <c r="C547" s="15" t="n">
        <v>65.22</v>
      </c>
      <c r="D547" s="16" t="n">
        <v>58797675</v>
      </c>
    </row>
    <row r="548" customFormat="false" ht="15" hidden="false" customHeight="false" outlineLevel="0" collapsed="false">
      <c r="A548" s="13" t="n">
        <v>45811</v>
      </c>
      <c r="B548" s="14" t="s">
        <v>46</v>
      </c>
      <c r="C548" s="15" t="n">
        <v>64.69</v>
      </c>
      <c r="D548" s="16" t="n">
        <v>46334458</v>
      </c>
    </row>
    <row r="549" customFormat="false" ht="15" hidden="false" customHeight="false" outlineLevel="0" collapsed="false">
      <c r="A549" s="13" t="n">
        <v>45812</v>
      </c>
      <c r="B549" s="14" t="s">
        <v>46</v>
      </c>
      <c r="C549" s="15" t="n">
        <v>65.01</v>
      </c>
      <c r="D549" s="16" t="n">
        <v>48517690</v>
      </c>
    </row>
    <row r="550" customFormat="false" ht="15" hidden="false" customHeight="false" outlineLevel="0" collapsed="false">
      <c r="A550" s="13" t="n">
        <v>45813</v>
      </c>
      <c r="B550" s="14" t="s">
        <v>46</v>
      </c>
      <c r="C550" s="15" t="n">
        <v>64.62</v>
      </c>
      <c r="D550" s="16" t="n">
        <v>39542128</v>
      </c>
    </row>
    <row r="551" customFormat="false" ht="15" hidden="false" customHeight="false" outlineLevel="0" collapsed="false">
      <c r="A551" s="13" t="n">
        <v>45814</v>
      </c>
      <c r="B551" s="14" t="s">
        <v>46</v>
      </c>
      <c r="C551" s="15" t="n">
        <v>64.01</v>
      </c>
      <c r="D551" s="16" t="n">
        <v>51760636</v>
      </c>
    </row>
    <row r="552" customFormat="false" ht="15" hidden="false" customHeight="false" outlineLevel="0" collapsed="false">
      <c r="A552" s="13" t="n">
        <v>45817</v>
      </c>
      <c r="B552" s="14" t="s">
        <v>46</v>
      </c>
      <c r="C552" s="15" t="n">
        <v>64.91</v>
      </c>
      <c r="D552" s="16" t="n">
        <v>38639184</v>
      </c>
    </row>
    <row r="553" customFormat="false" ht="15" hidden="false" customHeight="false" outlineLevel="0" collapsed="false">
      <c r="A553" s="13" t="n">
        <v>45818</v>
      </c>
      <c r="B553" s="14" t="s">
        <v>46</v>
      </c>
      <c r="C553" s="15" t="n">
        <v>64.03</v>
      </c>
      <c r="D553" s="16" t="n">
        <v>55706505</v>
      </c>
    </row>
    <row r="554" customFormat="false" ht="15" hidden="false" customHeight="false" outlineLevel="0" collapsed="false">
      <c r="A554" s="13" t="n">
        <v>45819</v>
      </c>
      <c r="B554" s="14" t="s">
        <v>46</v>
      </c>
      <c r="C554" s="15" t="n">
        <v>64.74</v>
      </c>
      <c r="D554" s="16" t="n">
        <v>14143608</v>
      </c>
    </row>
    <row r="555" customFormat="false" ht="15" hidden="false" customHeight="false" outlineLevel="0" collapsed="false">
      <c r="A555" s="13" t="n">
        <v>45820</v>
      </c>
      <c r="B555" s="14" t="s">
        <v>46</v>
      </c>
      <c r="C555" s="15" t="n">
        <v>63.45</v>
      </c>
      <c r="D555" s="16" t="n">
        <v>37532022</v>
      </c>
    </row>
    <row r="556" customFormat="false" ht="15" hidden="false" customHeight="false" outlineLevel="0" collapsed="false">
      <c r="A556" s="13" t="n">
        <v>45821</v>
      </c>
      <c r="B556" s="14" t="s">
        <v>46</v>
      </c>
      <c r="C556" s="15" t="n">
        <v>66.12</v>
      </c>
      <c r="D556" s="16" t="n">
        <v>25376816</v>
      </c>
    </row>
    <row r="557" customFormat="false" ht="15" hidden="false" customHeight="false" outlineLevel="0" collapsed="false">
      <c r="A557" s="13" t="n">
        <v>45824</v>
      </c>
      <c r="B557" s="14" t="s">
        <v>46</v>
      </c>
      <c r="C557" s="15" t="n">
        <v>65.93</v>
      </c>
      <c r="D557" s="16" t="n">
        <v>57942382</v>
      </c>
    </row>
    <row r="558" customFormat="false" ht="15" hidden="false" customHeight="false" outlineLevel="0" collapsed="false">
      <c r="A558" s="13" t="n">
        <v>45825</v>
      </c>
      <c r="B558" s="14" t="s">
        <v>46</v>
      </c>
      <c r="C558" s="15" t="n">
        <v>65.63</v>
      </c>
      <c r="D558" s="16" t="n">
        <v>37851723</v>
      </c>
    </row>
    <row r="559" customFormat="false" ht="15" hidden="false" customHeight="false" outlineLevel="0" collapsed="false">
      <c r="A559" s="13" t="n">
        <v>45826</v>
      </c>
      <c r="B559" s="14" t="s">
        <v>46</v>
      </c>
      <c r="C559" s="15" t="n">
        <v>66.78</v>
      </c>
      <c r="D559" s="16" t="n">
        <v>46745469</v>
      </c>
    </row>
    <row r="560" customFormat="false" ht="15" hidden="false" customHeight="false" outlineLevel="0" collapsed="false">
      <c r="A560" s="13" t="n">
        <v>45827</v>
      </c>
      <c r="B560" s="14" t="s">
        <v>46</v>
      </c>
      <c r="C560" s="15" t="n">
        <v>66.38</v>
      </c>
      <c r="D560" s="16" t="n">
        <v>22671503</v>
      </c>
    </row>
    <row r="561" customFormat="false" ht="15" hidden="false" customHeight="false" outlineLevel="0" collapsed="false">
      <c r="A561" s="13" t="n">
        <v>45828</v>
      </c>
      <c r="B561" s="14" t="s">
        <v>46</v>
      </c>
      <c r="C561" s="15" t="n">
        <v>67.86</v>
      </c>
      <c r="D561" s="16" t="n">
        <v>59286295</v>
      </c>
    </row>
    <row r="562" customFormat="false" ht="15" hidden="false" customHeight="false" outlineLevel="0" collapsed="false">
      <c r="A562" s="13" t="n">
        <v>45719</v>
      </c>
      <c r="B562" s="14" t="s">
        <v>49</v>
      </c>
      <c r="C562" s="15" t="n">
        <v>195</v>
      </c>
      <c r="D562" s="16" t="n">
        <v>41400624</v>
      </c>
    </row>
    <row r="563" customFormat="false" ht="15" hidden="false" customHeight="false" outlineLevel="0" collapsed="false">
      <c r="A563" s="13" t="n">
        <v>45720</v>
      </c>
      <c r="B563" s="14" t="s">
        <v>49</v>
      </c>
      <c r="C563" s="15" t="n">
        <v>198.55</v>
      </c>
      <c r="D563" s="16" t="n">
        <v>9676924</v>
      </c>
    </row>
    <row r="564" customFormat="false" ht="15" hidden="false" customHeight="false" outlineLevel="0" collapsed="false">
      <c r="A564" s="13" t="n">
        <v>45721</v>
      </c>
      <c r="B564" s="14" t="s">
        <v>49</v>
      </c>
      <c r="C564" s="15" t="n">
        <v>200.83</v>
      </c>
      <c r="D564" s="16" t="n">
        <v>44951994</v>
      </c>
    </row>
    <row r="565" customFormat="false" ht="15" hidden="false" customHeight="false" outlineLevel="0" collapsed="false">
      <c r="A565" s="13" t="n">
        <v>45722</v>
      </c>
      <c r="B565" s="14" t="s">
        <v>49</v>
      </c>
      <c r="C565" s="15" t="n">
        <v>203.49</v>
      </c>
      <c r="D565" s="16" t="n">
        <v>25124905</v>
      </c>
    </row>
    <row r="566" customFormat="false" ht="15" hidden="false" customHeight="false" outlineLevel="0" collapsed="false">
      <c r="A566" s="13" t="n">
        <v>45723</v>
      </c>
      <c r="B566" s="14" t="s">
        <v>49</v>
      </c>
      <c r="C566" s="15" t="n">
        <v>203.68</v>
      </c>
      <c r="D566" s="16" t="n">
        <v>36383985</v>
      </c>
    </row>
    <row r="567" customFormat="false" ht="15" hidden="false" customHeight="false" outlineLevel="0" collapsed="false">
      <c r="A567" s="13" t="n">
        <v>45726</v>
      </c>
      <c r="B567" s="14" t="s">
        <v>49</v>
      </c>
      <c r="C567" s="15" t="n">
        <v>203.78</v>
      </c>
      <c r="D567" s="16" t="n">
        <v>30254481</v>
      </c>
    </row>
    <row r="568" customFormat="false" ht="15" hidden="false" customHeight="false" outlineLevel="0" collapsed="false">
      <c r="A568" s="13" t="n">
        <v>45727</v>
      </c>
      <c r="B568" s="14" t="s">
        <v>49</v>
      </c>
      <c r="C568" s="15" t="n">
        <v>204.61</v>
      </c>
      <c r="D568" s="16" t="n">
        <v>37595773</v>
      </c>
    </row>
    <row r="569" customFormat="false" ht="15" hidden="false" customHeight="false" outlineLevel="0" collapsed="false">
      <c r="A569" s="13" t="n">
        <v>45728</v>
      </c>
      <c r="B569" s="14" t="s">
        <v>49</v>
      </c>
      <c r="C569" s="15" t="n">
        <v>206.76</v>
      </c>
      <c r="D569" s="16" t="n">
        <v>52371152</v>
      </c>
    </row>
    <row r="570" customFormat="false" ht="15" hidden="false" customHeight="false" outlineLevel="0" collapsed="false">
      <c r="A570" s="13" t="n">
        <v>45729</v>
      </c>
      <c r="B570" s="14" t="s">
        <v>49</v>
      </c>
      <c r="C570" s="15" t="n">
        <v>206.03</v>
      </c>
      <c r="D570" s="16" t="n">
        <v>57998103</v>
      </c>
    </row>
    <row r="571" customFormat="false" ht="15" hidden="false" customHeight="false" outlineLevel="0" collapsed="false">
      <c r="A571" s="13" t="n">
        <v>45730</v>
      </c>
      <c r="B571" s="14" t="s">
        <v>49</v>
      </c>
      <c r="C571" s="15" t="n">
        <v>206.45</v>
      </c>
      <c r="D571" s="16" t="n">
        <v>30253634</v>
      </c>
    </row>
    <row r="572" customFormat="false" ht="15" hidden="false" customHeight="false" outlineLevel="0" collapsed="false">
      <c r="A572" s="13" t="n">
        <v>45733</v>
      </c>
      <c r="B572" s="14" t="s">
        <v>49</v>
      </c>
      <c r="C572" s="15" t="n">
        <v>205.63</v>
      </c>
      <c r="D572" s="16" t="n">
        <v>15315679</v>
      </c>
    </row>
    <row r="573" customFormat="false" ht="15" hidden="false" customHeight="false" outlineLevel="0" collapsed="false">
      <c r="A573" s="13" t="n">
        <v>45734</v>
      </c>
      <c r="B573" s="14" t="s">
        <v>49</v>
      </c>
      <c r="C573" s="15" t="n">
        <v>206.04</v>
      </c>
      <c r="D573" s="16" t="n">
        <v>45048098</v>
      </c>
    </row>
    <row r="574" customFormat="false" ht="15" hidden="false" customHeight="false" outlineLevel="0" collapsed="false">
      <c r="A574" s="13" t="n">
        <v>45735</v>
      </c>
      <c r="B574" s="14" t="s">
        <v>49</v>
      </c>
      <c r="C574" s="15" t="n">
        <v>202.54</v>
      </c>
      <c r="D574" s="16" t="n">
        <v>25440805</v>
      </c>
    </row>
    <row r="575" customFormat="false" ht="15" hidden="false" customHeight="false" outlineLevel="0" collapsed="false">
      <c r="A575" s="13" t="n">
        <v>45736</v>
      </c>
      <c r="B575" s="14" t="s">
        <v>49</v>
      </c>
      <c r="C575" s="15" t="n">
        <v>209.93</v>
      </c>
      <c r="D575" s="16" t="n">
        <v>59249996</v>
      </c>
    </row>
    <row r="576" customFormat="false" ht="15" hidden="false" customHeight="false" outlineLevel="0" collapsed="false">
      <c r="A576" s="13" t="n">
        <v>45737</v>
      </c>
      <c r="B576" s="14" t="s">
        <v>49</v>
      </c>
      <c r="C576" s="15" t="n">
        <v>207.87</v>
      </c>
      <c r="D576" s="16" t="n">
        <v>22765239</v>
      </c>
    </row>
    <row r="577" customFormat="false" ht="15" hidden="false" customHeight="false" outlineLevel="0" collapsed="false">
      <c r="A577" s="13" t="n">
        <v>45740</v>
      </c>
      <c r="B577" s="14" t="s">
        <v>49</v>
      </c>
      <c r="C577" s="15" t="n">
        <v>206.9</v>
      </c>
      <c r="D577" s="16" t="n">
        <v>58967484</v>
      </c>
    </row>
    <row r="578" customFormat="false" ht="15" hidden="false" customHeight="false" outlineLevel="0" collapsed="false">
      <c r="A578" s="13" t="n">
        <v>45741</v>
      </c>
      <c r="B578" s="14" t="s">
        <v>49</v>
      </c>
      <c r="C578" s="15" t="n">
        <v>204.63</v>
      </c>
      <c r="D578" s="16" t="n">
        <v>25586222</v>
      </c>
    </row>
    <row r="579" customFormat="false" ht="15" hidden="false" customHeight="false" outlineLevel="0" collapsed="false">
      <c r="A579" s="13" t="n">
        <v>45742</v>
      </c>
      <c r="B579" s="14" t="s">
        <v>49</v>
      </c>
      <c r="C579" s="15" t="n">
        <v>206.44</v>
      </c>
      <c r="D579" s="16" t="n">
        <v>16527000</v>
      </c>
    </row>
    <row r="580" customFormat="false" ht="15" hidden="false" customHeight="false" outlineLevel="0" collapsed="false">
      <c r="A580" s="13" t="n">
        <v>45743</v>
      </c>
      <c r="B580" s="14" t="s">
        <v>49</v>
      </c>
      <c r="C580" s="15" t="n">
        <v>205.96</v>
      </c>
      <c r="D580" s="16" t="n">
        <v>19453059</v>
      </c>
    </row>
    <row r="581" customFormat="false" ht="15" hidden="false" customHeight="false" outlineLevel="0" collapsed="false">
      <c r="A581" s="13" t="n">
        <v>45744</v>
      </c>
      <c r="B581" s="14" t="s">
        <v>49</v>
      </c>
      <c r="C581" s="15" t="n">
        <v>203.28</v>
      </c>
      <c r="D581" s="16" t="n">
        <v>9423309</v>
      </c>
    </row>
    <row r="582" customFormat="false" ht="15" hidden="false" customHeight="false" outlineLevel="0" collapsed="false">
      <c r="A582" s="13" t="n">
        <v>45747</v>
      </c>
      <c r="B582" s="14" t="s">
        <v>49</v>
      </c>
      <c r="C582" s="15" t="n">
        <v>205.2</v>
      </c>
      <c r="D582" s="16" t="n">
        <v>4229028</v>
      </c>
    </row>
    <row r="583" customFormat="false" ht="15" hidden="false" customHeight="false" outlineLevel="0" collapsed="false">
      <c r="A583" s="13" t="n">
        <v>45748</v>
      </c>
      <c r="B583" s="14" t="s">
        <v>49</v>
      </c>
      <c r="C583" s="15" t="n">
        <v>207.53</v>
      </c>
      <c r="D583" s="16" t="n">
        <v>58388641</v>
      </c>
    </row>
    <row r="584" customFormat="false" ht="15" hidden="false" customHeight="false" outlineLevel="0" collapsed="false">
      <c r="A584" s="13" t="n">
        <v>45749</v>
      </c>
      <c r="B584" s="14" t="s">
        <v>49</v>
      </c>
      <c r="C584" s="15" t="n">
        <v>207.41</v>
      </c>
      <c r="D584" s="16" t="n">
        <v>19498826</v>
      </c>
    </row>
    <row r="585" customFormat="false" ht="15" hidden="false" customHeight="false" outlineLevel="0" collapsed="false">
      <c r="A585" s="13" t="n">
        <v>45750</v>
      </c>
      <c r="B585" s="14" t="s">
        <v>49</v>
      </c>
      <c r="C585" s="15" t="n">
        <v>205.58</v>
      </c>
      <c r="D585" s="16" t="n">
        <v>11569320</v>
      </c>
    </row>
    <row r="586" customFormat="false" ht="15" hidden="false" customHeight="false" outlineLevel="0" collapsed="false">
      <c r="A586" s="13" t="n">
        <v>45751</v>
      </c>
      <c r="B586" s="14" t="s">
        <v>49</v>
      </c>
      <c r="C586" s="15" t="n">
        <v>211.89</v>
      </c>
      <c r="D586" s="16" t="n">
        <v>3339767</v>
      </c>
    </row>
    <row r="587" customFormat="false" ht="15" hidden="false" customHeight="false" outlineLevel="0" collapsed="false">
      <c r="A587" s="13" t="n">
        <v>45754</v>
      </c>
      <c r="B587" s="14" t="s">
        <v>49</v>
      </c>
      <c r="C587" s="15" t="n">
        <v>212.97</v>
      </c>
      <c r="D587" s="16" t="n">
        <v>32500922</v>
      </c>
    </row>
    <row r="588" customFormat="false" ht="15" hidden="false" customHeight="false" outlineLevel="0" collapsed="false">
      <c r="A588" s="13" t="n">
        <v>45755</v>
      </c>
      <c r="B588" s="14" t="s">
        <v>49</v>
      </c>
      <c r="C588" s="15" t="n">
        <v>209.28</v>
      </c>
      <c r="D588" s="16" t="n">
        <v>20391451</v>
      </c>
    </row>
    <row r="589" customFormat="false" ht="15" hidden="false" customHeight="false" outlineLevel="0" collapsed="false">
      <c r="A589" s="13" t="n">
        <v>45756</v>
      </c>
      <c r="B589" s="14" t="s">
        <v>49</v>
      </c>
      <c r="C589" s="15" t="n">
        <v>213.46</v>
      </c>
      <c r="D589" s="16" t="n">
        <v>35045468</v>
      </c>
    </row>
    <row r="590" customFormat="false" ht="15" hidden="false" customHeight="false" outlineLevel="0" collapsed="false">
      <c r="A590" s="13" t="n">
        <v>45757</v>
      </c>
      <c r="B590" s="14" t="s">
        <v>49</v>
      </c>
      <c r="C590" s="15" t="n">
        <v>211</v>
      </c>
      <c r="D590" s="16" t="n">
        <v>57378562</v>
      </c>
    </row>
    <row r="591" customFormat="false" ht="15" hidden="false" customHeight="false" outlineLevel="0" collapsed="false">
      <c r="A591" s="13" t="n">
        <v>45758</v>
      </c>
      <c r="B591" s="14" t="s">
        <v>49</v>
      </c>
      <c r="C591" s="15" t="n">
        <v>219.1</v>
      </c>
      <c r="D591" s="16" t="n">
        <v>11851224</v>
      </c>
    </row>
    <row r="592" customFormat="false" ht="15" hidden="false" customHeight="false" outlineLevel="0" collapsed="false">
      <c r="A592" s="13" t="n">
        <v>45761</v>
      </c>
      <c r="B592" s="14" t="s">
        <v>49</v>
      </c>
      <c r="C592" s="15" t="n">
        <v>219.42</v>
      </c>
      <c r="D592" s="16" t="n">
        <v>37264673</v>
      </c>
    </row>
    <row r="593" customFormat="false" ht="15" hidden="false" customHeight="false" outlineLevel="0" collapsed="false">
      <c r="A593" s="13" t="n">
        <v>45762</v>
      </c>
      <c r="B593" s="14" t="s">
        <v>49</v>
      </c>
      <c r="C593" s="15" t="n">
        <v>222.58</v>
      </c>
      <c r="D593" s="16" t="n">
        <v>12822411</v>
      </c>
    </row>
    <row r="594" customFormat="false" ht="15" hidden="false" customHeight="false" outlineLevel="0" collapsed="false">
      <c r="A594" s="13" t="n">
        <v>45763</v>
      </c>
      <c r="B594" s="14" t="s">
        <v>49</v>
      </c>
      <c r="C594" s="15" t="n">
        <v>216.24</v>
      </c>
      <c r="D594" s="16" t="n">
        <v>18920169</v>
      </c>
    </row>
    <row r="595" customFormat="false" ht="15" hidden="false" customHeight="false" outlineLevel="0" collapsed="false">
      <c r="A595" s="13" t="n">
        <v>45764</v>
      </c>
      <c r="B595" s="14" t="s">
        <v>49</v>
      </c>
      <c r="C595" s="15" t="n">
        <v>212.47</v>
      </c>
      <c r="D595" s="16" t="n">
        <v>55293000</v>
      </c>
    </row>
    <row r="596" customFormat="false" ht="15" hidden="false" customHeight="false" outlineLevel="0" collapsed="false">
      <c r="A596" s="13" t="n">
        <v>45765</v>
      </c>
      <c r="B596" s="14" t="s">
        <v>49</v>
      </c>
      <c r="C596" s="15" t="n">
        <v>216.47</v>
      </c>
      <c r="D596" s="16" t="n">
        <v>4978702</v>
      </c>
    </row>
    <row r="597" customFormat="false" ht="15" hidden="false" customHeight="false" outlineLevel="0" collapsed="false">
      <c r="A597" s="13" t="n">
        <v>45768</v>
      </c>
      <c r="B597" s="14" t="s">
        <v>49</v>
      </c>
      <c r="C597" s="15" t="n">
        <v>217.5</v>
      </c>
      <c r="D597" s="16" t="n">
        <v>42723416</v>
      </c>
    </row>
    <row r="598" customFormat="false" ht="15" hidden="false" customHeight="false" outlineLevel="0" collapsed="false">
      <c r="A598" s="13" t="n">
        <v>45769</v>
      </c>
      <c r="B598" s="14" t="s">
        <v>49</v>
      </c>
      <c r="C598" s="15" t="n">
        <v>223.74</v>
      </c>
      <c r="D598" s="16" t="n">
        <v>18104132</v>
      </c>
    </row>
    <row r="599" customFormat="false" ht="15" hidden="false" customHeight="false" outlineLevel="0" collapsed="false">
      <c r="A599" s="13" t="n">
        <v>45770</v>
      </c>
      <c r="B599" s="14" t="s">
        <v>49</v>
      </c>
      <c r="C599" s="15" t="n">
        <v>225.32</v>
      </c>
      <c r="D599" s="16" t="n">
        <v>4597706</v>
      </c>
    </row>
    <row r="600" customFormat="false" ht="15" hidden="false" customHeight="false" outlineLevel="0" collapsed="false">
      <c r="A600" s="13" t="n">
        <v>45771</v>
      </c>
      <c r="B600" s="14" t="s">
        <v>49</v>
      </c>
      <c r="C600" s="15" t="n">
        <v>225.86</v>
      </c>
      <c r="D600" s="16" t="n">
        <v>39060986</v>
      </c>
    </row>
    <row r="601" customFormat="false" ht="15" hidden="false" customHeight="false" outlineLevel="0" collapsed="false">
      <c r="A601" s="13" t="n">
        <v>45772</v>
      </c>
      <c r="B601" s="14" t="s">
        <v>49</v>
      </c>
      <c r="C601" s="15" t="n">
        <v>231.3</v>
      </c>
      <c r="D601" s="16" t="n">
        <v>1605409</v>
      </c>
    </row>
    <row r="602" customFormat="false" ht="15" hidden="false" customHeight="false" outlineLevel="0" collapsed="false">
      <c r="A602" s="13" t="n">
        <v>45775</v>
      </c>
      <c r="B602" s="14" t="s">
        <v>49</v>
      </c>
      <c r="C602" s="15" t="n">
        <v>234.62</v>
      </c>
      <c r="D602" s="16" t="n">
        <v>10462743</v>
      </c>
    </row>
    <row r="603" customFormat="false" ht="15" hidden="false" customHeight="false" outlineLevel="0" collapsed="false">
      <c r="A603" s="13" t="n">
        <v>45776</v>
      </c>
      <c r="B603" s="14" t="s">
        <v>49</v>
      </c>
      <c r="C603" s="15" t="n">
        <v>234.07</v>
      </c>
      <c r="D603" s="16" t="n">
        <v>12377787</v>
      </c>
    </row>
    <row r="604" customFormat="false" ht="15" hidden="false" customHeight="false" outlineLevel="0" collapsed="false">
      <c r="A604" s="13" t="n">
        <v>45777</v>
      </c>
      <c r="B604" s="14" t="s">
        <v>49</v>
      </c>
      <c r="C604" s="15" t="n">
        <v>230.6</v>
      </c>
      <c r="D604" s="16" t="n">
        <v>58181134</v>
      </c>
    </row>
    <row r="605" customFormat="false" ht="15" hidden="false" customHeight="false" outlineLevel="0" collapsed="false">
      <c r="A605" s="13" t="n">
        <v>45778</v>
      </c>
      <c r="B605" s="14" t="s">
        <v>49</v>
      </c>
      <c r="C605" s="15" t="n">
        <v>223.1</v>
      </c>
      <c r="D605" s="16" t="n">
        <v>22827621</v>
      </c>
    </row>
    <row r="606" customFormat="false" ht="15" hidden="false" customHeight="false" outlineLevel="0" collapsed="false">
      <c r="A606" s="13" t="n">
        <v>45779</v>
      </c>
      <c r="B606" s="14" t="s">
        <v>49</v>
      </c>
      <c r="C606" s="15" t="n">
        <v>221.83</v>
      </c>
      <c r="D606" s="16" t="n">
        <v>42892167</v>
      </c>
    </row>
    <row r="607" customFormat="false" ht="15" hidden="false" customHeight="false" outlineLevel="0" collapsed="false">
      <c r="A607" s="13" t="n">
        <v>45782</v>
      </c>
      <c r="B607" s="14" t="s">
        <v>49</v>
      </c>
      <c r="C607" s="15" t="n">
        <v>218.26</v>
      </c>
      <c r="D607" s="16" t="n">
        <v>36280122</v>
      </c>
    </row>
    <row r="608" customFormat="false" ht="15" hidden="false" customHeight="false" outlineLevel="0" collapsed="false">
      <c r="A608" s="13" t="n">
        <v>45783</v>
      </c>
      <c r="B608" s="14" t="s">
        <v>49</v>
      </c>
      <c r="C608" s="15" t="n">
        <v>226.2</v>
      </c>
      <c r="D608" s="16" t="n">
        <v>21057988</v>
      </c>
    </row>
    <row r="609" customFormat="false" ht="15" hidden="false" customHeight="false" outlineLevel="0" collapsed="false">
      <c r="A609" s="13" t="n">
        <v>45784</v>
      </c>
      <c r="B609" s="14" t="s">
        <v>49</v>
      </c>
      <c r="C609" s="15" t="n">
        <v>224.24</v>
      </c>
      <c r="D609" s="16" t="n">
        <v>9197295</v>
      </c>
    </row>
    <row r="610" customFormat="false" ht="15" hidden="false" customHeight="false" outlineLevel="0" collapsed="false">
      <c r="A610" s="13" t="n">
        <v>45785</v>
      </c>
      <c r="B610" s="14" t="s">
        <v>49</v>
      </c>
      <c r="C610" s="15" t="n">
        <v>222.21</v>
      </c>
      <c r="D610" s="16" t="n">
        <v>50395289</v>
      </c>
    </row>
    <row r="611" customFormat="false" ht="15" hidden="false" customHeight="false" outlineLevel="0" collapsed="false">
      <c r="A611" s="13" t="n">
        <v>45786</v>
      </c>
      <c r="B611" s="14" t="s">
        <v>49</v>
      </c>
      <c r="C611" s="15" t="n">
        <v>217.61</v>
      </c>
      <c r="D611" s="16" t="n">
        <v>6809041</v>
      </c>
    </row>
    <row r="612" customFormat="false" ht="15" hidden="false" customHeight="false" outlineLevel="0" collapsed="false">
      <c r="A612" s="13" t="n">
        <v>45789</v>
      </c>
      <c r="B612" s="14" t="s">
        <v>49</v>
      </c>
      <c r="C612" s="15" t="n">
        <v>216.88</v>
      </c>
      <c r="D612" s="16" t="n">
        <v>13546501</v>
      </c>
    </row>
    <row r="613" customFormat="false" ht="15" hidden="false" customHeight="false" outlineLevel="0" collapsed="false">
      <c r="A613" s="13" t="n">
        <v>45790</v>
      </c>
      <c r="B613" s="14" t="s">
        <v>49</v>
      </c>
      <c r="C613" s="15" t="n">
        <v>214.96</v>
      </c>
      <c r="D613" s="16" t="n">
        <v>39641700</v>
      </c>
    </row>
    <row r="614" customFormat="false" ht="15" hidden="false" customHeight="false" outlineLevel="0" collapsed="false">
      <c r="A614" s="13" t="n">
        <v>45791</v>
      </c>
      <c r="B614" s="14" t="s">
        <v>49</v>
      </c>
      <c r="C614" s="15" t="n">
        <v>220.22</v>
      </c>
      <c r="D614" s="16" t="n">
        <v>7155579</v>
      </c>
    </row>
    <row r="615" customFormat="false" ht="15" hidden="false" customHeight="false" outlineLevel="0" collapsed="false">
      <c r="A615" s="13" t="n">
        <v>45792</v>
      </c>
      <c r="B615" s="14" t="s">
        <v>49</v>
      </c>
      <c r="C615" s="15" t="n">
        <v>220.81</v>
      </c>
      <c r="D615" s="16" t="n">
        <v>1403119</v>
      </c>
    </row>
    <row r="616" customFormat="false" ht="15" hidden="false" customHeight="false" outlineLevel="0" collapsed="false">
      <c r="A616" s="13" t="n">
        <v>45793</v>
      </c>
      <c r="B616" s="14" t="s">
        <v>49</v>
      </c>
      <c r="C616" s="15" t="n">
        <v>220.86</v>
      </c>
      <c r="D616" s="16" t="n">
        <v>49892876</v>
      </c>
    </row>
    <row r="617" customFormat="false" ht="15" hidden="false" customHeight="false" outlineLevel="0" collapsed="false">
      <c r="A617" s="13" t="n">
        <v>45796</v>
      </c>
      <c r="B617" s="14" t="s">
        <v>49</v>
      </c>
      <c r="C617" s="15" t="n">
        <v>220.53</v>
      </c>
      <c r="D617" s="16" t="n">
        <v>17556827</v>
      </c>
    </row>
    <row r="618" customFormat="false" ht="15" hidden="false" customHeight="false" outlineLevel="0" collapsed="false">
      <c r="A618" s="13" t="n">
        <v>45797</v>
      </c>
      <c r="B618" s="14" t="s">
        <v>49</v>
      </c>
      <c r="C618" s="15" t="n">
        <v>223.01</v>
      </c>
      <c r="D618" s="16" t="n">
        <v>59544068</v>
      </c>
    </row>
    <row r="619" customFormat="false" ht="15" hidden="false" customHeight="false" outlineLevel="0" collapsed="false">
      <c r="A619" s="13" t="n">
        <v>45798</v>
      </c>
      <c r="B619" s="14" t="s">
        <v>49</v>
      </c>
      <c r="C619" s="15" t="n">
        <v>221.69</v>
      </c>
      <c r="D619" s="16" t="n">
        <v>31495692</v>
      </c>
    </row>
    <row r="620" customFormat="false" ht="15" hidden="false" customHeight="false" outlineLevel="0" collapsed="false">
      <c r="A620" s="13" t="n">
        <v>45799</v>
      </c>
      <c r="B620" s="14" t="s">
        <v>49</v>
      </c>
      <c r="C620" s="15" t="n">
        <v>223.82</v>
      </c>
      <c r="D620" s="16" t="n">
        <v>33027216</v>
      </c>
    </row>
    <row r="621" customFormat="false" ht="15" hidden="false" customHeight="false" outlineLevel="0" collapsed="false">
      <c r="A621" s="13" t="n">
        <v>45800</v>
      </c>
      <c r="B621" s="14" t="s">
        <v>49</v>
      </c>
      <c r="C621" s="15" t="n">
        <v>228.91</v>
      </c>
      <c r="D621" s="16" t="n">
        <v>47263335</v>
      </c>
    </row>
    <row r="622" customFormat="false" ht="15" hidden="false" customHeight="false" outlineLevel="0" collapsed="false">
      <c r="A622" s="13" t="n">
        <v>45803</v>
      </c>
      <c r="B622" s="14" t="s">
        <v>49</v>
      </c>
      <c r="C622" s="15" t="n">
        <v>230.45</v>
      </c>
      <c r="D622" s="16" t="n">
        <v>34957164</v>
      </c>
    </row>
    <row r="623" customFormat="false" ht="15" hidden="false" customHeight="false" outlineLevel="0" collapsed="false">
      <c r="A623" s="13" t="n">
        <v>45804</v>
      </c>
      <c r="B623" s="14" t="s">
        <v>49</v>
      </c>
      <c r="C623" s="15" t="n">
        <v>229.73</v>
      </c>
      <c r="D623" s="16" t="n">
        <v>51837727</v>
      </c>
    </row>
    <row r="624" customFormat="false" ht="15" hidden="false" customHeight="false" outlineLevel="0" collapsed="false">
      <c r="A624" s="13" t="n">
        <v>45805</v>
      </c>
      <c r="B624" s="14" t="s">
        <v>49</v>
      </c>
      <c r="C624" s="15" t="n">
        <v>226.78</v>
      </c>
      <c r="D624" s="16" t="n">
        <v>2950013</v>
      </c>
    </row>
    <row r="625" customFormat="false" ht="15" hidden="false" customHeight="false" outlineLevel="0" collapsed="false">
      <c r="A625" s="13" t="n">
        <v>45806</v>
      </c>
      <c r="B625" s="14" t="s">
        <v>49</v>
      </c>
      <c r="C625" s="15" t="n">
        <v>225.99</v>
      </c>
      <c r="D625" s="16" t="n">
        <v>2132658</v>
      </c>
    </row>
    <row r="626" customFormat="false" ht="15" hidden="false" customHeight="false" outlineLevel="0" collapsed="false">
      <c r="A626" s="13" t="n">
        <v>45807</v>
      </c>
      <c r="B626" s="14" t="s">
        <v>49</v>
      </c>
      <c r="C626" s="15" t="n">
        <v>227.84</v>
      </c>
      <c r="D626" s="16" t="n">
        <v>53316857</v>
      </c>
    </row>
    <row r="627" customFormat="false" ht="15" hidden="false" customHeight="false" outlineLevel="0" collapsed="false">
      <c r="A627" s="13" t="n">
        <v>45810</v>
      </c>
      <c r="B627" s="14" t="s">
        <v>49</v>
      </c>
      <c r="C627" s="15" t="n">
        <v>223.08</v>
      </c>
      <c r="D627" s="16" t="n">
        <v>38877058</v>
      </c>
    </row>
    <row r="628" customFormat="false" ht="15" hidden="false" customHeight="false" outlineLevel="0" collapsed="false">
      <c r="A628" s="13" t="n">
        <v>45811</v>
      </c>
      <c r="B628" s="14" t="s">
        <v>49</v>
      </c>
      <c r="C628" s="15" t="n">
        <v>225.73</v>
      </c>
      <c r="D628" s="16" t="n">
        <v>18434167</v>
      </c>
    </row>
    <row r="629" customFormat="false" ht="15" hidden="false" customHeight="false" outlineLevel="0" collapsed="false">
      <c r="A629" s="13" t="n">
        <v>45812</v>
      </c>
      <c r="B629" s="14" t="s">
        <v>49</v>
      </c>
      <c r="C629" s="15" t="n">
        <v>226.46</v>
      </c>
      <c r="D629" s="16" t="n">
        <v>26177127</v>
      </c>
    </row>
    <row r="630" customFormat="false" ht="15" hidden="false" customHeight="false" outlineLevel="0" collapsed="false">
      <c r="A630" s="13" t="n">
        <v>45813</v>
      </c>
      <c r="B630" s="14" t="s">
        <v>49</v>
      </c>
      <c r="C630" s="15" t="n">
        <v>226.07</v>
      </c>
      <c r="D630" s="16" t="n">
        <v>27376033</v>
      </c>
    </row>
    <row r="631" customFormat="false" ht="15" hidden="false" customHeight="false" outlineLevel="0" collapsed="false">
      <c r="A631" s="13" t="n">
        <v>45814</v>
      </c>
      <c r="B631" s="14" t="s">
        <v>49</v>
      </c>
      <c r="C631" s="15" t="n">
        <v>224.09</v>
      </c>
      <c r="D631" s="16" t="n">
        <v>54811239</v>
      </c>
    </row>
    <row r="632" customFormat="false" ht="15" hidden="false" customHeight="false" outlineLevel="0" collapsed="false">
      <c r="A632" s="13" t="n">
        <v>45817</v>
      </c>
      <c r="B632" s="14" t="s">
        <v>49</v>
      </c>
      <c r="C632" s="15" t="n">
        <v>222.69</v>
      </c>
      <c r="D632" s="16" t="n">
        <v>14881178</v>
      </c>
    </row>
    <row r="633" customFormat="false" ht="15" hidden="false" customHeight="false" outlineLevel="0" collapsed="false">
      <c r="A633" s="13" t="n">
        <v>45818</v>
      </c>
      <c r="B633" s="14" t="s">
        <v>49</v>
      </c>
      <c r="C633" s="15" t="n">
        <v>224.61</v>
      </c>
      <c r="D633" s="16" t="n">
        <v>22981132</v>
      </c>
    </row>
    <row r="634" customFormat="false" ht="15" hidden="false" customHeight="false" outlineLevel="0" collapsed="false">
      <c r="A634" s="13" t="n">
        <v>45819</v>
      </c>
      <c r="B634" s="14" t="s">
        <v>49</v>
      </c>
      <c r="C634" s="15" t="n">
        <v>224.29</v>
      </c>
      <c r="D634" s="16" t="n">
        <v>7026988</v>
      </c>
    </row>
    <row r="635" customFormat="false" ht="15" hidden="false" customHeight="false" outlineLevel="0" collapsed="false">
      <c r="A635" s="13" t="n">
        <v>45820</v>
      </c>
      <c r="B635" s="14" t="s">
        <v>49</v>
      </c>
      <c r="C635" s="15" t="n">
        <v>222.82</v>
      </c>
      <c r="D635" s="16" t="n">
        <v>16590661</v>
      </c>
    </row>
    <row r="636" customFormat="false" ht="15" hidden="false" customHeight="false" outlineLevel="0" collapsed="false">
      <c r="A636" s="13" t="n">
        <v>45821</v>
      </c>
      <c r="B636" s="14" t="s">
        <v>49</v>
      </c>
      <c r="C636" s="15" t="n">
        <v>224.34</v>
      </c>
      <c r="D636" s="16" t="n">
        <v>25203479</v>
      </c>
    </row>
    <row r="637" customFormat="false" ht="15" hidden="false" customHeight="false" outlineLevel="0" collapsed="false">
      <c r="A637" s="13" t="n">
        <v>45824</v>
      </c>
      <c r="B637" s="14" t="s">
        <v>49</v>
      </c>
      <c r="C637" s="15" t="n">
        <v>226</v>
      </c>
      <c r="D637" s="16" t="n">
        <v>3366610</v>
      </c>
    </row>
    <row r="638" customFormat="false" ht="15" hidden="false" customHeight="false" outlineLevel="0" collapsed="false">
      <c r="A638" s="13" t="n">
        <v>45825</v>
      </c>
      <c r="B638" s="14" t="s">
        <v>49</v>
      </c>
      <c r="C638" s="15" t="n">
        <v>222.17</v>
      </c>
      <c r="D638" s="16" t="n">
        <v>38734735</v>
      </c>
    </row>
    <row r="639" customFormat="false" ht="15" hidden="false" customHeight="false" outlineLevel="0" collapsed="false">
      <c r="A639" s="13" t="n">
        <v>45826</v>
      </c>
      <c r="B639" s="14" t="s">
        <v>49</v>
      </c>
      <c r="C639" s="15" t="n">
        <v>224.01</v>
      </c>
      <c r="D639" s="16" t="n">
        <v>10456807</v>
      </c>
    </row>
    <row r="640" customFormat="false" ht="15" hidden="false" customHeight="false" outlineLevel="0" collapsed="false">
      <c r="A640" s="13" t="n">
        <v>45827</v>
      </c>
      <c r="B640" s="14" t="s">
        <v>49</v>
      </c>
      <c r="C640" s="15" t="n">
        <v>231.86</v>
      </c>
      <c r="D640" s="16" t="n">
        <v>47860379</v>
      </c>
    </row>
    <row r="641" customFormat="false" ht="15" hidden="false" customHeight="false" outlineLevel="0" collapsed="false">
      <c r="A641" s="13" t="n">
        <v>45828</v>
      </c>
      <c r="B641" s="14" t="s">
        <v>49</v>
      </c>
      <c r="C641" s="15" t="n">
        <v>233.45</v>
      </c>
      <c r="D641" s="16" t="n">
        <v>30342048</v>
      </c>
    </row>
    <row r="642" customFormat="false" ht="15" hidden="false" customHeight="false" outlineLevel="0" collapsed="false">
      <c r="A642" s="13" t="n">
        <v>45719</v>
      </c>
      <c r="B642" s="14" t="s">
        <v>51</v>
      </c>
      <c r="C642" s="15" t="n">
        <v>700</v>
      </c>
      <c r="D642" s="16" t="n">
        <v>22131601</v>
      </c>
    </row>
    <row r="643" customFormat="false" ht="15" hidden="false" customHeight="false" outlineLevel="0" collapsed="false">
      <c r="A643" s="13" t="n">
        <v>45720</v>
      </c>
      <c r="B643" s="14" t="s">
        <v>51</v>
      </c>
      <c r="C643" s="15" t="n">
        <v>697.32</v>
      </c>
      <c r="D643" s="16" t="n">
        <v>49055661</v>
      </c>
    </row>
    <row r="644" customFormat="false" ht="15" hidden="false" customHeight="false" outlineLevel="0" collapsed="false">
      <c r="A644" s="13" t="n">
        <v>45721</v>
      </c>
      <c r="B644" s="14" t="s">
        <v>51</v>
      </c>
      <c r="C644" s="15" t="n">
        <v>684.76</v>
      </c>
      <c r="D644" s="16" t="n">
        <v>26554414</v>
      </c>
    </row>
    <row r="645" customFormat="false" ht="15" hidden="false" customHeight="false" outlineLevel="0" collapsed="false">
      <c r="A645" s="13" t="n">
        <v>45722</v>
      </c>
      <c r="B645" s="14" t="s">
        <v>51</v>
      </c>
      <c r="C645" s="15" t="n">
        <v>677.02</v>
      </c>
      <c r="D645" s="16" t="n">
        <v>27931806</v>
      </c>
    </row>
    <row r="646" customFormat="false" ht="15" hidden="false" customHeight="false" outlineLevel="0" collapsed="false">
      <c r="A646" s="13" t="n">
        <v>45723</v>
      </c>
      <c r="B646" s="14" t="s">
        <v>51</v>
      </c>
      <c r="C646" s="15" t="n">
        <v>667.39</v>
      </c>
      <c r="D646" s="16" t="n">
        <v>14476005</v>
      </c>
    </row>
    <row r="647" customFormat="false" ht="15" hidden="false" customHeight="false" outlineLevel="0" collapsed="false">
      <c r="A647" s="13" t="n">
        <v>45726</v>
      </c>
      <c r="B647" s="14" t="s">
        <v>51</v>
      </c>
      <c r="C647" s="15" t="n">
        <v>673.9</v>
      </c>
      <c r="D647" s="16" t="n">
        <v>45721695</v>
      </c>
    </row>
    <row r="648" customFormat="false" ht="15" hidden="false" customHeight="false" outlineLevel="0" collapsed="false">
      <c r="A648" s="13" t="n">
        <v>45727</v>
      </c>
      <c r="B648" s="14" t="s">
        <v>51</v>
      </c>
      <c r="C648" s="15" t="n">
        <v>685.21</v>
      </c>
      <c r="D648" s="16" t="n">
        <v>4151882</v>
      </c>
    </row>
    <row r="649" customFormat="false" ht="15" hidden="false" customHeight="false" outlineLevel="0" collapsed="false">
      <c r="A649" s="13" t="n">
        <v>45728</v>
      </c>
      <c r="B649" s="14" t="s">
        <v>51</v>
      </c>
      <c r="C649" s="15" t="n">
        <v>684.46</v>
      </c>
      <c r="D649" s="16" t="n">
        <v>33134444</v>
      </c>
    </row>
    <row r="650" customFormat="false" ht="15" hidden="false" customHeight="false" outlineLevel="0" collapsed="false">
      <c r="A650" s="13" t="n">
        <v>45729</v>
      </c>
      <c r="B650" s="14" t="s">
        <v>51</v>
      </c>
      <c r="C650" s="15" t="n">
        <v>687.21</v>
      </c>
      <c r="D650" s="16" t="n">
        <v>31319320</v>
      </c>
    </row>
    <row r="651" customFormat="false" ht="15" hidden="false" customHeight="false" outlineLevel="0" collapsed="false">
      <c r="A651" s="13" t="n">
        <v>45730</v>
      </c>
      <c r="B651" s="14" t="s">
        <v>51</v>
      </c>
      <c r="C651" s="15" t="n">
        <v>685.83</v>
      </c>
      <c r="D651" s="16" t="n">
        <v>4210016</v>
      </c>
    </row>
    <row r="652" customFormat="false" ht="15" hidden="false" customHeight="false" outlineLevel="0" collapsed="false">
      <c r="A652" s="13" t="n">
        <v>45733</v>
      </c>
      <c r="B652" s="14" t="s">
        <v>51</v>
      </c>
      <c r="C652" s="15" t="n">
        <v>677.35</v>
      </c>
      <c r="D652" s="16" t="n">
        <v>7737320</v>
      </c>
    </row>
    <row r="653" customFormat="false" ht="15" hidden="false" customHeight="false" outlineLevel="0" collapsed="false">
      <c r="A653" s="13" t="n">
        <v>45734</v>
      </c>
      <c r="B653" s="14" t="s">
        <v>51</v>
      </c>
      <c r="C653" s="15" t="n">
        <v>686.81</v>
      </c>
      <c r="D653" s="16" t="n">
        <v>36943815</v>
      </c>
    </row>
    <row r="654" customFormat="false" ht="15" hidden="false" customHeight="false" outlineLevel="0" collapsed="false">
      <c r="A654" s="13" t="n">
        <v>45735</v>
      </c>
      <c r="B654" s="14" t="s">
        <v>51</v>
      </c>
      <c r="C654" s="15" t="n">
        <v>694.14</v>
      </c>
      <c r="D654" s="16" t="n">
        <v>24773962</v>
      </c>
    </row>
    <row r="655" customFormat="false" ht="15" hidden="false" customHeight="false" outlineLevel="0" collapsed="false">
      <c r="A655" s="13" t="n">
        <v>45736</v>
      </c>
      <c r="B655" s="14" t="s">
        <v>51</v>
      </c>
      <c r="C655" s="15" t="n">
        <v>673.73</v>
      </c>
      <c r="D655" s="16" t="n">
        <v>51495701</v>
      </c>
    </row>
    <row r="656" customFormat="false" ht="15" hidden="false" customHeight="false" outlineLevel="0" collapsed="false">
      <c r="A656" s="13" t="n">
        <v>45737</v>
      </c>
      <c r="B656" s="14" t="s">
        <v>51</v>
      </c>
      <c r="C656" s="15" t="n">
        <v>670.99</v>
      </c>
      <c r="D656" s="16" t="n">
        <v>49018519</v>
      </c>
    </row>
    <row r="657" customFormat="false" ht="15" hidden="false" customHeight="false" outlineLevel="0" collapsed="false">
      <c r="A657" s="13" t="n">
        <v>45740</v>
      </c>
      <c r="B657" s="14" t="s">
        <v>51</v>
      </c>
      <c r="C657" s="15" t="n">
        <v>661.94</v>
      </c>
      <c r="D657" s="16" t="n">
        <v>23750760</v>
      </c>
    </row>
    <row r="658" customFormat="false" ht="15" hidden="false" customHeight="false" outlineLevel="0" collapsed="false">
      <c r="A658" s="13" t="n">
        <v>45741</v>
      </c>
      <c r="B658" s="14" t="s">
        <v>51</v>
      </c>
      <c r="C658" s="15" t="n">
        <v>658.13</v>
      </c>
      <c r="D658" s="16" t="n">
        <v>33942480</v>
      </c>
    </row>
    <row r="659" customFormat="false" ht="15" hidden="false" customHeight="false" outlineLevel="0" collapsed="false">
      <c r="A659" s="13" t="n">
        <v>45742</v>
      </c>
      <c r="B659" s="14" t="s">
        <v>51</v>
      </c>
      <c r="C659" s="15" t="n">
        <v>651.44</v>
      </c>
      <c r="D659" s="16" t="n">
        <v>39836811</v>
      </c>
    </row>
    <row r="660" customFormat="false" ht="15" hidden="false" customHeight="false" outlineLevel="0" collapsed="false">
      <c r="A660" s="13" t="n">
        <v>45743</v>
      </c>
      <c r="B660" s="14" t="s">
        <v>51</v>
      </c>
      <c r="C660" s="15" t="n">
        <v>651.22</v>
      </c>
      <c r="D660" s="16" t="n">
        <v>10825144</v>
      </c>
    </row>
    <row r="661" customFormat="false" ht="15" hidden="false" customHeight="false" outlineLevel="0" collapsed="false">
      <c r="A661" s="13" t="n">
        <v>45744</v>
      </c>
      <c r="B661" s="14" t="s">
        <v>51</v>
      </c>
      <c r="C661" s="15" t="n">
        <v>648.1</v>
      </c>
      <c r="D661" s="16" t="n">
        <v>37097069</v>
      </c>
    </row>
    <row r="662" customFormat="false" ht="15" hidden="false" customHeight="false" outlineLevel="0" collapsed="false">
      <c r="A662" s="13" t="n">
        <v>45747</v>
      </c>
      <c r="B662" s="14" t="s">
        <v>51</v>
      </c>
      <c r="C662" s="15" t="n">
        <v>644.77</v>
      </c>
      <c r="D662" s="16" t="n">
        <v>9033951</v>
      </c>
    </row>
    <row r="663" customFormat="false" ht="15" hidden="false" customHeight="false" outlineLevel="0" collapsed="false">
      <c r="A663" s="13" t="n">
        <v>45748</v>
      </c>
      <c r="B663" s="14" t="s">
        <v>51</v>
      </c>
      <c r="C663" s="15" t="n">
        <v>656.27</v>
      </c>
      <c r="D663" s="16" t="n">
        <v>12779534</v>
      </c>
    </row>
    <row r="664" customFormat="false" ht="15" hidden="false" customHeight="false" outlineLevel="0" collapsed="false">
      <c r="A664" s="13" t="n">
        <v>45749</v>
      </c>
      <c r="B664" s="14" t="s">
        <v>51</v>
      </c>
      <c r="C664" s="15" t="n">
        <v>662.29</v>
      </c>
      <c r="D664" s="16" t="n">
        <v>59438965</v>
      </c>
    </row>
    <row r="665" customFormat="false" ht="15" hidden="false" customHeight="false" outlineLevel="0" collapsed="false">
      <c r="A665" s="13" t="n">
        <v>45750</v>
      </c>
      <c r="B665" s="14" t="s">
        <v>51</v>
      </c>
      <c r="C665" s="15" t="n">
        <v>655.21</v>
      </c>
      <c r="D665" s="16" t="n">
        <v>38712981</v>
      </c>
    </row>
    <row r="666" customFormat="false" ht="15" hidden="false" customHeight="false" outlineLevel="0" collapsed="false">
      <c r="A666" s="13" t="n">
        <v>45751</v>
      </c>
      <c r="B666" s="14" t="s">
        <v>51</v>
      </c>
      <c r="C666" s="15" t="n">
        <v>649.74</v>
      </c>
      <c r="D666" s="16" t="n">
        <v>32029339</v>
      </c>
    </row>
    <row r="667" customFormat="false" ht="15" hidden="false" customHeight="false" outlineLevel="0" collapsed="false">
      <c r="A667" s="13" t="n">
        <v>45754</v>
      </c>
      <c r="B667" s="14" t="s">
        <v>51</v>
      </c>
      <c r="C667" s="15" t="n">
        <v>655.03</v>
      </c>
      <c r="D667" s="16" t="n">
        <v>10734816</v>
      </c>
    </row>
    <row r="668" customFormat="false" ht="15" hidden="false" customHeight="false" outlineLevel="0" collapsed="false">
      <c r="A668" s="13" t="n">
        <v>45755</v>
      </c>
      <c r="B668" s="14" t="s">
        <v>51</v>
      </c>
      <c r="C668" s="15" t="n">
        <v>660.35</v>
      </c>
      <c r="D668" s="16" t="n">
        <v>55862537</v>
      </c>
    </row>
    <row r="669" customFormat="false" ht="15" hidden="false" customHeight="false" outlineLevel="0" collapsed="false">
      <c r="A669" s="13" t="n">
        <v>45756</v>
      </c>
      <c r="B669" s="14" t="s">
        <v>51</v>
      </c>
      <c r="C669" s="15" t="n">
        <v>654.33</v>
      </c>
      <c r="D669" s="16" t="n">
        <v>44721639</v>
      </c>
    </row>
    <row r="670" customFormat="false" ht="15" hidden="false" customHeight="false" outlineLevel="0" collapsed="false">
      <c r="A670" s="13" t="n">
        <v>45757</v>
      </c>
      <c r="B670" s="14" t="s">
        <v>51</v>
      </c>
      <c r="C670" s="15" t="n">
        <v>652.18</v>
      </c>
      <c r="D670" s="16" t="n">
        <v>42965471</v>
      </c>
    </row>
    <row r="671" customFormat="false" ht="15" hidden="false" customHeight="false" outlineLevel="0" collapsed="false">
      <c r="A671" s="13" t="n">
        <v>45758</v>
      </c>
      <c r="B671" s="14" t="s">
        <v>51</v>
      </c>
      <c r="C671" s="15" t="n">
        <v>671.4</v>
      </c>
      <c r="D671" s="16" t="n">
        <v>17052465</v>
      </c>
    </row>
    <row r="672" customFormat="false" ht="15" hidden="false" customHeight="false" outlineLevel="0" collapsed="false">
      <c r="A672" s="13" t="n">
        <v>45761</v>
      </c>
      <c r="B672" s="14" t="s">
        <v>51</v>
      </c>
      <c r="C672" s="15" t="n">
        <v>665.47</v>
      </c>
      <c r="D672" s="16" t="n">
        <v>43590048</v>
      </c>
    </row>
    <row r="673" customFormat="false" ht="15" hidden="false" customHeight="false" outlineLevel="0" collapsed="false">
      <c r="A673" s="13" t="n">
        <v>45762</v>
      </c>
      <c r="B673" s="14" t="s">
        <v>51</v>
      </c>
      <c r="C673" s="15" t="n">
        <v>685.76</v>
      </c>
      <c r="D673" s="16" t="n">
        <v>9962049</v>
      </c>
    </row>
    <row r="674" customFormat="false" ht="15" hidden="false" customHeight="false" outlineLevel="0" collapsed="false">
      <c r="A674" s="13" t="n">
        <v>45763</v>
      </c>
      <c r="B674" s="14" t="s">
        <v>51</v>
      </c>
      <c r="C674" s="15" t="n">
        <v>697.95</v>
      </c>
      <c r="D674" s="16" t="n">
        <v>13851424</v>
      </c>
    </row>
    <row r="675" customFormat="false" ht="15" hidden="false" customHeight="false" outlineLevel="0" collapsed="false">
      <c r="A675" s="13" t="n">
        <v>45764</v>
      </c>
      <c r="B675" s="14" t="s">
        <v>51</v>
      </c>
      <c r="C675" s="15" t="n">
        <v>717.19</v>
      </c>
      <c r="D675" s="16" t="n">
        <v>42839392</v>
      </c>
    </row>
    <row r="676" customFormat="false" ht="15" hidden="false" customHeight="false" outlineLevel="0" collapsed="false">
      <c r="A676" s="13" t="n">
        <v>45765</v>
      </c>
      <c r="B676" s="14" t="s">
        <v>51</v>
      </c>
      <c r="C676" s="15" t="n">
        <v>710.37</v>
      </c>
      <c r="D676" s="16" t="n">
        <v>33356072</v>
      </c>
    </row>
    <row r="677" customFormat="false" ht="15" hidden="false" customHeight="false" outlineLevel="0" collapsed="false">
      <c r="A677" s="13" t="n">
        <v>45768</v>
      </c>
      <c r="B677" s="14" t="s">
        <v>51</v>
      </c>
      <c r="C677" s="15" t="n">
        <v>708.77</v>
      </c>
      <c r="D677" s="16" t="n">
        <v>30536204</v>
      </c>
    </row>
    <row r="678" customFormat="false" ht="15" hidden="false" customHeight="false" outlineLevel="0" collapsed="false">
      <c r="A678" s="13" t="n">
        <v>45769</v>
      </c>
      <c r="B678" s="14" t="s">
        <v>51</v>
      </c>
      <c r="C678" s="15" t="n">
        <v>704.04</v>
      </c>
      <c r="D678" s="16" t="n">
        <v>19827165</v>
      </c>
    </row>
    <row r="679" customFormat="false" ht="15" hidden="false" customHeight="false" outlineLevel="0" collapsed="false">
      <c r="A679" s="13" t="n">
        <v>45770</v>
      </c>
      <c r="B679" s="14" t="s">
        <v>51</v>
      </c>
      <c r="C679" s="15" t="n">
        <v>716.81</v>
      </c>
      <c r="D679" s="16" t="n">
        <v>9388512</v>
      </c>
    </row>
    <row r="680" customFormat="false" ht="15" hidden="false" customHeight="false" outlineLevel="0" collapsed="false">
      <c r="A680" s="13" t="n">
        <v>45771</v>
      </c>
      <c r="B680" s="14" t="s">
        <v>51</v>
      </c>
      <c r="C680" s="15" t="n">
        <v>710.68</v>
      </c>
      <c r="D680" s="16" t="n">
        <v>52599948</v>
      </c>
    </row>
    <row r="681" customFormat="false" ht="15" hidden="false" customHeight="false" outlineLevel="0" collapsed="false">
      <c r="A681" s="13" t="n">
        <v>45772</v>
      </c>
      <c r="B681" s="14" t="s">
        <v>51</v>
      </c>
      <c r="C681" s="15" t="n">
        <v>719.15</v>
      </c>
      <c r="D681" s="16" t="n">
        <v>2947763</v>
      </c>
    </row>
    <row r="682" customFormat="false" ht="15" hidden="false" customHeight="false" outlineLevel="0" collapsed="false">
      <c r="A682" s="13" t="n">
        <v>45775</v>
      </c>
      <c r="B682" s="14" t="s">
        <v>51</v>
      </c>
      <c r="C682" s="15" t="n">
        <v>727.12</v>
      </c>
      <c r="D682" s="16" t="n">
        <v>28050901</v>
      </c>
    </row>
    <row r="683" customFormat="false" ht="15" hidden="false" customHeight="false" outlineLevel="0" collapsed="false">
      <c r="A683" s="13" t="n">
        <v>45776</v>
      </c>
      <c r="B683" s="14" t="s">
        <v>51</v>
      </c>
      <c r="C683" s="15" t="n">
        <v>726.86</v>
      </c>
      <c r="D683" s="16" t="n">
        <v>42208934</v>
      </c>
    </row>
    <row r="684" customFormat="false" ht="15" hidden="false" customHeight="false" outlineLevel="0" collapsed="false">
      <c r="A684" s="13" t="n">
        <v>45777</v>
      </c>
      <c r="B684" s="14" t="s">
        <v>51</v>
      </c>
      <c r="C684" s="15" t="n">
        <v>742.01</v>
      </c>
      <c r="D684" s="16" t="n">
        <v>34138881</v>
      </c>
    </row>
    <row r="685" customFormat="false" ht="15" hidden="false" customHeight="false" outlineLevel="0" collapsed="false">
      <c r="A685" s="13" t="n">
        <v>45778</v>
      </c>
      <c r="B685" s="14" t="s">
        <v>51</v>
      </c>
      <c r="C685" s="15" t="n">
        <v>743.56</v>
      </c>
      <c r="D685" s="16" t="n">
        <v>38436581</v>
      </c>
    </row>
    <row r="686" customFormat="false" ht="15" hidden="false" customHeight="false" outlineLevel="0" collapsed="false">
      <c r="A686" s="13" t="n">
        <v>45779</v>
      </c>
      <c r="B686" s="14" t="s">
        <v>51</v>
      </c>
      <c r="C686" s="15" t="n">
        <v>753.62</v>
      </c>
      <c r="D686" s="16" t="n">
        <v>22650278</v>
      </c>
    </row>
    <row r="687" customFormat="false" ht="15" hidden="false" customHeight="false" outlineLevel="0" collapsed="false">
      <c r="A687" s="13" t="n">
        <v>45782</v>
      </c>
      <c r="B687" s="14" t="s">
        <v>51</v>
      </c>
      <c r="C687" s="15" t="n">
        <v>748.05</v>
      </c>
      <c r="D687" s="16" t="n">
        <v>58376857</v>
      </c>
    </row>
    <row r="688" customFormat="false" ht="15" hidden="false" customHeight="false" outlineLevel="0" collapsed="false">
      <c r="A688" s="13" t="n">
        <v>45783</v>
      </c>
      <c r="B688" s="14" t="s">
        <v>51</v>
      </c>
      <c r="C688" s="15" t="n">
        <v>739.83</v>
      </c>
      <c r="D688" s="16" t="n">
        <v>9439469</v>
      </c>
    </row>
    <row r="689" customFormat="false" ht="15" hidden="false" customHeight="false" outlineLevel="0" collapsed="false">
      <c r="A689" s="13" t="n">
        <v>45784</v>
      </c>
      <c r="B689" s="14" t="s">
        <v>51</v>
      </c>
      <c r="C689" s="15" t="n">
        <v>748.64</v>
      </c>
      <c r="D689" s="16" t="n">
        <v>25455289</v>
      </c>
    </row>
    <row r="690" customFormat="false" ht="15" hidden="false" customHeight="false" outlineLevel="0" collapsed="false">
      <c r="A690" s="13" t="n">
        <v>45785</v>
      </c>
      <c r="B690" s="14" t="s">
        <v>51</v>
      </c>
      <c r="C690" s="15" t="n">
        <v>754.02</v>
      </c>
      <c r="D690" s="16" t="n">
        <v>16941617</v>
      </c>
    </row>
    <row r="691" customFormat="false" ht="15" hidden="false" customHeight="false" outlineLevel="0" collapsed="false">
      <c r="A691" s="13" t="n">
        <v>45786</v>
      </c>
      <c r="B691" s="14" t="s">
        <v>51</v>
      </c>
      <c r="C691" s="15" t="n">
        <v>757.2</v>
      </c>
      <c r="D691" s="16" t="n">
        <v>39400142</v>
      </c>
    </row>
    <row r="692" customFormat="false" ht="15" hidden="false" customHeight="false" outlineLevel="0" collapsed="false">
      <c r="A692" s="13" t="n">
        <v>45789</v>
      </c>
      <c r="B692" s="14" t="s">
        <v>51</v>
      </c>
      <c r="C692" s="15" t="n">
        <v>753.41</v>
      </c>
      <c r="D692" s="16" t="n">
        <v>55332385</v>
      </c>
    </row>
    <row r="693" customFormat="false" ht="15" hidden="false" customHeight="false" outlineLevel="0" collapsed="false">
      <c r="A693" s="13" t="n">
        <v>45790</v>
      </c>
      <c r="B693" s="14" t="s">
        <v>51</v>
      </c>
      <c r="C693" s="15" t="n">
        <v>772.09</v>
      </c>
      <c r="D693" s="16" t="n">
        <v>43664041</v>
      </c>
    </row>
    <row r="694" customFormat="false" ht="15" hidden="false" customHeight="false" outlineLevel="0" collapsed="false">
      <c r="A694" s="13" t="n">
        <v>45791</v>
      </c>
      <c r="B694" s="14" t="s">
        <v>51</v>
      </c>
      <c r="C694" s="15" t="n">
        <v>758.82</v>
      </c>
      <c r="D694" s="16" t="n">
        <v>49243574</v>
      </c>
    </row>
    <row r="695" customFormat="false" ht="15" hidden="false" customHeight="false" outlineLevel="0" collapsed="false">
      <c r="A695" s="13" t="n">
        <v>45792</v>
      </c>
      <c r="B695" s="14" t="s">
        <v>51</v>
      </c>
      <c r="C695" s="15" t="n">
        <v>745.12</v>
      </c>
      <c r="D695" s="16" t="n">
        <v>47462256</v>
      </c>
    </row>
    <row r="696" customFormat="false" ht="15" hidden="false" customHeight="false" outlineLevel="0" collapsed="false">
      <c r="A696" s="13" t="n">
        <v>45793</v>
      </c>
      <c r="B696" s="14" t="s">
        <v>51</v>
      </c>
      <c r="C696" s="15" t="n">
        <v>756.47</v>
      </c>
      <c r="D696" s="16" t="n">
        <v>50092554</v>
      </c>
    </row>
    <row r="697" customFormat="false" ht="15" hidden="false" customHeight="false" outlineLevel="0" collapsed="false">
      <c r="A697" s="13" t="n">
        <v>45796</v>
      </c>
      <c r="B697" s="14" t="s">
        <v>51</v>
      </c>
      <c r="C697" s="15" t="n">
        <v>767.02</v>
      </c>
      <c r="D697" s="16" t="n">
        <v>15391234</v>
      </c>
    </row>
    <row r="698" customFormat="false" ht="15" hidden="false" customHeight="false" outlineLevel="0" collapsed="false">
      <c r="A698" s="13" t="n">
        <v>45797</v>
      </c>
      <c r="B698" s="14" t="s">
        <v>51</v>
      </c>
      <c r="C698" s="15" t="n">
        <v>771.6</v>
      </c>
      <c r="D698" s="16" t="n">
        <v>25035962</v>
      </c>
    </row>
    <row r="699" customFormat="false" ht="15" hidden="false" customHeight="false" outlineLevel="0" collapsed="false">
      <c r="A699" s="13" t="n">
        <v>45798</v>
      </c>
      <c r="B699" s="14" t="s">
        <v>51</v>
      </c>
      <c r="C699" s="15" t="n">
        <v>768.4</v>
      </c>
      <c r="D699" s="16" t="n">
        <v>2443717</v>
      </c>
    </row>
    <row r="700" customFormat="false" ht="15" hidden="false" customHeight="false" outlineLevel="0" collapsed="false">
      <c r="A700" s="13" t="n">
        <v>45799</v>
      </c>
      <c r="B700" s="14" t="s">
        <v>51</v>
      </c>
      <c r="C700" s="15" t="n">
        <v>774.79</v>
      </c>
      <c r="D700" s="16" t="n">
        <v>5409352</v>
      </c>
    </row>
    <row r="701" customFormat="false" ht="15" hidden="false" customHeight="false" outlineLevel="0" collapsed="false">
      <c r="A701" s="13" t="n">
        <v>45800</v>
      </c>
      <c r="B701" s="14" t="s">
        <v>51</v>
      </c>
      <c r="C701" s="15" t="n">
        <v>796.09</v>
      </c>
      <c r="D701" s="16" t="n">
        <v>32050824</v>
      </c>
    </row>
    <row r="702" customFormat="false" ht="15" hidden="false" customHeight="false" outlineLevel="0" collapsed="false">
      <c r="A702" s="13" t="n">
        <v>45803</v>
      </c>
      <c r="B702" s="14" t="s">
        <v>51</v>
      </c>
      <c r="C702" s="15" t="n">
        <v>827.95</v>
      </c>
      <c r="D702" s="16" t="n">
        <v>22888358</v>
      </c>
    </row>
    <row r="703" customFormat="false" ht="15" hidden="false" customHeight="false" outlineLevel="0" collapsed="false">
      <c r="A703" s="13" t="n">
        <v>45804</v>
      </c>
      <c r="B703" s="14" t="s">
        <v>51</v>
      </c>
      <c r="C703" s="15" t="n">
        <v>806.68</v>
      </c>
      <c r="D703" s="16" t="n">
        <v>16329502</v>
      </c>
    </row>
    <row r="704" customFormat="false" ht="15" hidden="false" customHeight="false" outlineLevel="0" collapsed="false">
      <c r="A704" s="13" t="n">
        <v>45805</v>
      </c>
      <c r="B704" s="14" t="s">
        <v>51</v>
      </c>
      <c r="C704" s="15" t="n">
        <v>801.67</v>
      </c>
      <c r="D704" s="16" t="n">
        <v>44148703</v>
      </c>
    </row>
    <row r="705" customFormat="false" ht="15" hidden="false" customHeight="false" outlineLevel="0" collapsed="false">
      <c r="A705" s="13" t="n">
        <v>45806</v>
      </c>
      <c r="B705" s="14" t="s">
        <v>51</v>
      </c>
      <c r="C705" s="15" t="n">
        <v>795.91</v>
      </c>
      <c r="D705" s="16" t="n">
        <v>9421928</v>
      </c>
    </row>
    <row r="706" customFormat="false" ht="15" hidden="false" customHeight="false" outlineLevel="0" collapsed="false">
      <c r="A706" s="13" t="n">
        <v>45807</v>
      </c>
      <c r="B706" s="14" t="s">
        <v>51</v>
      </c>
      <c r="C706" s="15" t="n">
        <v>816.61</v>
      </c>
      <c r="D706" s="16" t="n">
        <v>26492849</v>
      </c>
    </row>
    <row r="707" customFormat="false" ht="15" hidden="false" customHeight="false" outlineLevel="0" collapsed="false">
      <c r="A707" s="13" t="n">
        <v>45810</v>
      </c>
      <c r="B707" s="14" t="s">
        <v>51</v>
      </c>
      <c r="C707" s="15" t="n">
        <v>785.03</v>
      </c>
      <c r="D707" s="16" t="n">
        <v>58238219</v>
      </c>
    </row>
    <row r="708" customFormat="false" ht="15" hidden="false" customHeight="false" outlineLevel="0" collapsed="false">
      <c r="A708" s="13" t="n">
        <v>45811</v>
      </c>
      <c r="B708" s="14" t="s">
        <v>51</v>
      </c>
      <c r="C708" s="15" t="n">
        <v>791.69</v>
      </c>
      <c r="D708" s="16" t="n">
        <v>50796359</v>
      </c>
    </row>
    <row r="709" customFormat="false" ht="15" hidden="false" customHeight="false" outlineLevel="0" collapsed="false">
      <c r="A709" s="13" t="n">
        <v>45812</v>
      </c>
      <c r="B709" s="14" t="s">
        <v>51</v>
      </c>
      <c r="C709" s="15" t="n">
        <v>788.8</v>
      </c>
      <c r="D709" s="16" t="n">
        <v>43307399</v>
      </c>
    </row>
    <row r="710" customFormat="false" ht="15" hidden="false" customHeight="false" outlineLevel="0" collapsed="false">
      <c r="A710" s="13" t="n">
        <v>45813</v>
      </c>
      <c r="B710" s="14" t="s">
        <v>51</v>
      </c>
      <c r="C710" s="15" t="n">
        <v>809.47</v>
      </c>
      <c r="D710" s="16" t="n">
        <v>48081137</v>
      </c>
    </row>
    <row r="711" customFormat="false" ht="15" hidden="false" customHeight="false" outlineLevel="0" collapsed="false">
      <c r="A711" s="13" t="n">
        <v>45814</v>
      </c>
      <c r="B711" s="14" t="s">
        <v>51</v>
      </c>
      <c r="C711" s="15" t="n">
        <v>828.92</v>
      </c>
      <c r="D711" s="16" t="n">
        <v>2308507</v>
      </c>
    </row>
    <row r="712" customFormat="false" ht="15" hidden="false" customHeight="false" outlineLevel="0" collapsed="false">
      <c r="A712" s="13" t="n">
        <v>45817</v>
      </c>
      <c r="B712" s="14" t="s">
        <v>51</v>
      </c>
      <c r="C712" s="15" t="n">
        <v>834.02</v>
      </c>
      <c r="D712" s="16" t="n">
        <v>21843837</v>
      </c>
    </row>
    <row r="713" customFormat="false" ht="15" hidden="false" customHeight="false" outlineLevel="0" collapsed="false">
      <c r="A713" s="13" t="n">
        <v>45818</v>
      </c>
      <c r="B713" s="14" t="s">
        <v>51</v>
      </c>
      <c r="C713" s="15" t="n">
        <v>813.6</v>
      </c>
      <c r="D713" s="16" t="n">
        <v>10331795</v>
      </c>
    </row>
    <row r="714" customFormat="false" ht="15" hidden="false" customHeight="false" outlineLevel="0" collapsed="false">
      <c r="A714" s="13" t="n">
        <v>45819</v>
      </c>
      <c r="B714" s="14" t="s">
        <v>51</v>
      </c>
      <c r="C714" s="15" t="n">
        <v>806.57</v>
      </c>
      <c r="D714" s="16" t="n">
        <v>49641341</v>
      </c>
    </row>
    <row r="715" customFormat="false" ht="15" hidden="false" customHeight="false" outlineLevel="0" collapsed="false">
      <c r="A715" s="13" t="n">
        <v>45820</v>
      </c>
      <c r="B715" s="14" t="s">
        <v>51</v>
      </c>
      <c r="C715" s="15" t="n">
        <v>801</v>
      </c>
      <c r="D715" s="16" t="n">
        <v>13382318</v>
      </c>
    </row>
    <row r="716" customFormat="false" ht="15" hidden="false" customHeight="false" outlineLevel="0" collapsed="false">
      <c r="A716" s="13" t="n">
        <v>45821</v>
      </c>
      <c r="B716" s="14" t="s">
        <v>51</v>
      </c>
      <c r="C716" s="15" t="n">
        <v>784.58</v>
      </c>
      <c r="D716" s="16" t="n">
        <v>10986298</v>
      </c>
    </row>
    <row r="717" customFormat="false" ht="15" hidden="false" customHeight="false" outlineLevel="0" collapsed="false">
      <c r="A717" s="13" t="n">
        <v>45824</v>
      </c>
      <c r="B717" s="14" t="s">
        <v>51</v>
      </c>
      <c r="C717" s="15" t="n">
        <v>799.16</v>
      </c>
      <c r="D717" s="16" t="n">
        <v>1100734</v>
      </c>
    </row>
    <row r="718" customFormat="false" ht="15" hidden="false" customHeight="false" outlineLevel="0" collapsed="false">
      <c r="A718" s="13" t="n">
        <v>45825</v>
      </c>
      <c r="B718" s="14" t="s">
        <v>51</v>
      </c>
      <c r="C718" s="15" t="n">
        <v>781.18</v>
      </c>
      <c r="D718" s="16" t="n">
        <v>9546310</v>
      </c>
    </row>
    <row r="719" customFormat="false" ht="15" hidden="false" customHeight="false" outlineLevel="0" collapsed="false">
      <c r="A719" s="13" t="n">
        <v>45826</v>
      </c>
      <c r="B719" s="14" t="s">
        <v>51</v>
      </c>
      <c r="C719" s="15" t="n">
        <v>805.67</v>
      </c>
      <c r="D719" s="16" t="n">
        <v>20628490</v>
      </c>
    </row>
    <row r="720" customFormat="false" ht="15" hidden="false" customHeight="false" outlineLevel="0" collapsed="false">
      <c r="A720" s="13" t="n">
        <v>45827</v>
      </c>
      <c r="B720" s="14" t="s">
        <v>51</v>
      </c>
      <c r="C720" s="15" t="n">
        <v>830.9</v>
      </c>
      <c r="D720" s="16" t="n">
        <v>19003027</v>
      </c>
    </row>
    <row r="721" customFormat="false" ht="15" hidden="false" customHeight="false" outlineLevel="0" collapsed="false">
      <c r="A721" s="13" t="n">
        <v>45828</v>
      </c>
      <c r="B721" s="14" t="s">
        <v>51</v>
      </c>
      <c r="C721" s="15" t="n">
        <v>826.19</v>
      </c>
      <c r="D721" s="16" t="n">
        <v>27312911</v>
      </c>
    </row>
    <row r="722" customFormat="false" ht="15" hidden="false" customHeight="false" outlineLevel="0" collapsed="false">
      <c r="A722" s="13" t="n">
        <v>45719</v>
      </c>
      <c r="B722" s="14" t="s">
        <v>54</v>
      </c>
      <c r="C722" s="15" t="n">
        <v>60</v>
      </c>
      <c r="D722" s="16" t="n">
        <v>18715057</v>
      </c>
    </row>
    <row r="723" customFormat="false" ht="15" hidden="false" customHeight="false" outlineLevel="0" collapsed="false">
      <c r="A723" s="13" t="n">
        <v>45720</v>
      </c>
      <c r="B723" s="14" t="s">
        <v>54</v>
      </c>
      <c r="C723" s="15" t="n">
        <v>60.12</v>
      </c>
      <c r="D723" s="16" t="n">
        <v>10955661</v>
      </c>
    </row>
    <row r="724" customFormat="false" ht="15" hidden="false" customHeight="false" outlineLevel="0" collapsed="false">
      <c r="A724" s="13" t="n">
        <v>45721</v>
      </c>
      <c r="B724" s="14" t="s">
        <v>54</v>
      </c>
      <c r="C724" s="15" t="n">
        <v>61.23</v>
      </c>
      <c r="D724" s="16" t="n">
        <v>44859585</v>
      </c>
    </row>
    <row r="725" customFormat="false" ht="15" hidden="false" customHeight="false" outlineLevel="0" collapsed="false">
      <c r="A725" s="13" t="n">
        <v>45722</v>
      </c>
      <c r="B725" s="14" t="s">
        <v>54</v>
      </c>
      <c r="C725" s="15" t="n">
        <v>60.87</v>
      </c>
      <c r="D725" s="16" t="n">
        <v>59393544</v>
      </c>
    </row>
    <row r="726" customFormat="false" ht="15" hidden="false" customHeight="false" outlineLevel="0" collapsed="false">
      <c r="A726" s="13" t="n">
        <v>45723</v>
      </c>
      <c r="B726" s="14" t="s">
        <v>54</v>
      </c>
      <c r="C726" s="15" t="n">
        <v>61.81</v>
      </c>
      <c r="D726" s="16" t="n">
        <v>54175588</v>
      </c>
    </row>
    <row r="727" customFormat="false" ht="15" hidden="false" customHeight="false" outlineLevel="0" collapsed="false">
      <c r="A727" s="13" t="n">
        <v>45726</v>
      </c>
      <c r="B727" s="14" t="s">
        <v>54</v>
      </c>
      <c r="C727" s="15" t="n">
        <v>61.93</v>
      </c>
      <c r="D727" s="16" t="n">
        <v>21709657</v>
      </c>
    </row>
    <row r="728" customFormat="false" ht="15" hidden="false" customHeight="false" outlineLevel="0" collapsed="false">
      <c r="A728" s="13" t="n">
        <v>45727</v>
      </c>
      <c r="B728" s="14" t="s">
        <v>54</v>
      </c>
      <c r="C728" s="15" t="n">
        <v>61.59</v>
      </c>
      <c r="D728" s="16" t="n">
        <v>35761500</v>
      </c>
    </row>
    <row r="729" customFormat="false" ht="15" hidden="false" customHeight="false" outlineLevel="0" collapsed="false">
      <c r="A729" s="13" t="n">
        <v>45728</v>
      </c>
      <c r="B729" s="14" t="s">
        <v>54</v>
      </c>
      <c r="C729" s="15" t="n">
        <v>61.34</v>
      </c>
      <c r="D729" s="16" t="n">
        <v>55696054</v>
      </c>
    </row>
    <row r="730" customFormat="false" ht="15" hidden="false" customHeight="false" outlineLevel="0" collapsed="false">
      <c r="A730" s="13" t="n">
        <v>45729</v>
      </c>
      <c r="B730" s="14" t="s">
        <v>54</v>
      </c>
      <c r="C730" s="15" t="n">
        <v>61.18</v>
      </c>
      <c r="D730" s="16" t="n">
        <v>26560098</v>
      </c>
    </row>
    <row r="731" customFormat="false" ht="15" hidden="false" customHeight="false" outlineLevel="0" collapsed="false">
      <c r="A731" s="13" t="n">
        <v>45730</v>
      </c>
      <c r="B731" s="14" t="s">
        <v>54</v>
      </c>
      <c r="C731" s="15" t="n">
        <v>61.42</v>
      </c>
      <c r="D731" s="16" t="n">
        <v>35941412</v>
      </c>
    </row>
    <row r="732" customFormat="false" ht="15" hidden="false" customHeight="false" outlineLevel="0" collapsed="false">
      <c r="A732" s="13" t="n">
        <v>45733</v>
      </c>
      <c r="B732" s="14" t="s">
        <v>54</v>
      </c>
      <c r="C732" s="15" t="n">
        <v>61.71</v>
      </c>
      <c r="D732" s="16" t="n">
        <v>52539700</v>
      </c>
    </row>
    <row r="733" customFormat="false" ht="15" hidden="false" customHeight="false" outlineLevel="0" collapsed="false">
      <c r="A733" s="13" t="n">
        <v>45734</v>
      </c>
      <c r="B733" s="14" t="s">
        <v>54</v>
      </c>
      <c r="C733" s="15" t="n">
        <v>61.41</v>
      </c>
      <c r="D733" s="16" t="n">
        <v>45799034</v>
      </c>
    </row>
    <row r="734" customFormat="false" ht="15" hidden="false" customHeight="false" outlineLevel="0" collapsed="false">
      <c r="A734" s="13" t="n">
        <v>45735</v>
      </c>
      <c r="B734" s="14" t="s">
        <v>54</v>
      </c>
      <c r="C734" s="15" t="n">
        <v>61.41</v>
      </c>
      <c r="D734" s="16" t="n">
        <v>16702852</v>
      </c>
    </row>
    <row r="735" customFormat="false" ht="15" hidden="false" customHeight="false" outlineLevel="0" collapsed="false">
      <c r="A735" s="13" t="n">
        <v>45736</v>
      </c>
      <c r="B735" s="14" t="s">
        <v>54</v>
      </c>
      <c r="C735" s="15" t="n">
        <v>62.59</v>
      </c>
      <c r="D735" s="16" t="n">
        <v>42055392</v>
      </c>
    </row>
    <row r="736" customFormat="false" ht="15" hidden="false" customHeight="false" outlineLevel="0" collapsed="false">
      <c r="A736" s="13" t="n">
        <v>45737</v>
      </c>
      <c r="B736" s="14" t="s">
        <v>54</v>
      </c>
      <c r="C736" s="15" t="n">
        <v>63.55</v>
      </c>
      <c r="D736" s="16" t="n">
        <v>32073264</v>
      </c>
    </row>
    <row r="737" customFormat="false" ht="15" hidden="false" customHeight="false" outlineLevel="0" collapsed="false">
      <c r="A737" s="13" t="n">
        <v>45740</v>
      </c>
      <c r="B737" s="14" t="s">
        <v>54</v>
      </c>
      <c r="C737" s="15" t="n">
        <v>63.81</v>
      </c>
      <c r="D737" s="16" t="n">
        <v>29113586</v>
      </c>
    </row>
    <row r="738" customFormat="false" ht="15" hidden="false" customHeight="false" outlineLevel="0" collapsed="false">
      <c r="A738" s="13" t="n">
        <v>45741</v>
      </c>
      <c r="B738" s="14" t="s">
        <v>54</v>
      </c>
      <c r="C738" s="15" t="n">
        <v>63.84</v>
      </c>
      <c r="D738" s="16" t="n">
        <v>45336333</v>
      </c>
    </row>
    <row r="739" customFormat="false" ht="15" hidden="false" customHeight="false" outlineLevel="0" collapsed="false">
      <c r="A739" s="13" t="n">
        <v>45742</v>
      </c>
      <c r="B739" s="14" t="s">
        <v>54</v>
      </c>
      <c r="C739" s="15" t="n">
        <v>63.92</v>
      </c>
      <c r="D739" s="16" t="n">
        <v>4040267</v>
      </c>
    </row>
    <row r="740" customFormat="false" ht="15" hidden="false" customHeight="false" outlineLevel="0" collapsed="false">
      <c r="A740" s="13" t="n">
        <v>45743</v>
      </c>
      <c r="B740" s="14" t="s">
        <v>54</v>
      </c>
      <c r="C740" s="15" t="n">
        <v>64.28</v>
      </c>
      <c r="D740" s="16" t="n">
        <v>34149417</v>
      </c>
    </row>
    <row r="741" customFormat="false" ht="15" hidden="false" customHeight="false" outlineLevel="0" collapsed="false">
      <c r="A741" s="13" t="n">
        <v>45744</v>
      </c>
      <c r="B741" s="14" t="s">
        <v>54</v>
      </c>
      <c r="C741" s="15" t="n">
        <v>63.71</v>
      </c>
      <c r="D741" s="16" t="n">
        <v>30008147</v>
      </c>
    </row>
    <row r="742" customFormat="false" ht="15" hidden="false" customHeight="false" outlineLevel="0" collapsed="false">
      <c r="A742" s="13" t="n">
        <v>45747</v>
      </c>
      <c r="B742" s="14" t="s">
        <v>54</v>
      </c>
      <c r="C742" s="15" t="n">
        <v>63.58</v>
      </c>
      <c r="D742" s="16" t="n">
        <v>10685684</v>
      </c>
    </row>
    <row r="743" customFormat="false" ht="15" hidden="false" customHeight="false" outlineLevel="0" collapsed="false">
      <c r="A743" s="13" t="n">
        <v>45748</v>
      </c>
      <c r="B743" s="14" t="s">
        <v>54</v>
      </c>
      <c r="C743" s="15" t="n">
        <v>62.66</v>
      </c>
      <c r="D743" s="16" t="n">
        <v>48876337</v>
      </c>
    </row>
    <row r="744" customFormat="false" ht="15" hidden="false" customHeight="false" outlineLevel="0" collapsed="false">
      <c r="A744" s="13" t="n">
        <v>45749</v>
      </c>
      <c r="B744" s="14" t="s">
        <v>54</v>
      </c>
      <c r="C744" s="15" t="n">
        <v>62.89</v>
      </c>
      <c r="D744" s="16" t="n">
        <v>52512535</v>
      </c>
    </row>
    <row r="745" customFormat="false" ht="15" hidden="false" customHeight="false" outlineLevel="0" collapsed="false">
      <c r="A745" s="13" t="n">
        <v>45750</v>
      </c>
      <c r="B745" s="14" t="s">
        <v>54</v>
      </c>
      <c r="C745" s="15" t="n">
        <v>63.26</v>
      </c>
      <c r="D745" s="16" t="n">
        <v>22217066</v>
      </c>
    </row>
    <row r="746" customFormat="false" ht="15" hidden="false" customHeight="false" outlineLevel="0" collapsed="false">
      <c r="A746" s="13" t="n">
        <v>45751</v>
      </c>
      <c r="B746" s="14" t="s">
        <v>54</v>
      </c>
      <c r="C746" s="15" t="n">
        <v>63.01</v>
      </c>
      <c r="D746" s="16" t="n">
        <v>8536765</v>
      </c>
    </row>
    <row r="747" customFormat="false" ht="15" hidden="false" customHeight="false" outlineLevel="0" collapsed="false">
      <c r="A747" s="13" t="n">
        <v>45754</v>
      </c>
      <c r="B747" s="14" t="s">
        <v>54</v>
      </c>
      <c r="C747" s="15" t="n">
        <v>63.89</v>
      </c>
      <c r="D747" s="16" t="n">
        <v>46658328</v>
      </c>
    </row>
    <row r="748" customFormat="false" ht="15" hidden="false" customHeight="false" outlineLevel="0" collapsed="false">
      <c r="A748" s="13" t="n">
        <v>45755</v>
      </c>
      <c r="B748" s="14" t="s">
        <v>54</v>
      </c>
      <c r="C748" s="15" t="n">
        <v>63.22</v>
      </c>
      <c r="D748" s="16" t="n">
        <v>19673436</v>
      </c>
    </row>
    <row r="749" customFormat="false" ht="15" hidden="false" customHeight="false" outlineLevel="0" collapsed="false">
      <c r="A749" s="13" t="n">
        <v>45756</v>
      </c>
      <c r="B749" s="14" t="s">
        <v>54</v>
      </c>
      <c r="C749" s="15" t="n">
        <v>62.41</v>
      </c>
      <c r="D749" s="16" t="n">
        <v>37693176</v>
      </c>
    </row>
    <row r="750" customFormat="false" ht="15" hidden="false" customHeight="false" outlineLevel="0" collapsed="false">
      <c r="A750" s="13" t="n">
        <v>45757</v>
      </c>
      <c r="B750" s="14" t="s">
        <v>54</v>
      </c>
      <c r="C750" s="15" t="n">
        <v>62.55</v>
      </c>
      <c r="D750" s="16" t="n">
        <v>9535078</v>
      </c>
    </row>
    <row r="751" customFormat="false" ht="15" hidden="false" customHeight="false" outlineLevel="0" collapsed="false">
      <c r="A751" s="13" t="n">
        <v>45758</v>
      </c>
      <c r="B751" s="14" t="s">
        <v>54</v>
      </c>
      <c r="C751" s="15" t="n">
        <v>63.14</v>
      </c>
      <c r="D751" s="16" t="n">
        <v>7935774</v>
      </c>
    </row>
    <row r="752" customFormat="false" ht="15" hidden="false" customHeight="false" outlineLevel="0" collapsed="false">
      <c r="A752" s="13" t="n">
        <v>45761</v>
      </c>
      <c r="B752" s="14" t="s">
        <v>54</v>
      </c>
      <c r="C752" s="15" t="n">
        <v>64.09</v>
      </c>
      <c r="D752" s="16" t="n">
        <v>19144439</v>
      </c>
    </row>
    <row r="753" customFormat="false" ht="15" hidden="false" customHeight="false" outlineLevel="0" collapsed="false">
      <c r="A753" s="13" t="n">
        <v>45762</v>
      </c>
      <c r="B753" s="14" t="s">
        <v>54</v>
      </c>
      <c r="C753" s="15" t="n">
        <v>63.84</v>
      </c>
      <c r="D753" s="16" t="n">
        <v>27220970</v>
      </c>
    </row>
    <row r="754" customFormat="false" ht="15" hidden="false" customHeight="false" outlineLevel="0" collapsed="false">
      <c r="A754" s="13" t="n">
        <v>45763</v>
      </c>
      <c r="B754" s="14" t="s">
        <v>54</v>
      </c>
      <c r="C754" s="15" t="n">
        <v>64.46</v>
      </c>
      <c r="D754" s="16" t="n">
        <v>20205297</v>
      </c>
    </row>
    <row r="755" customFormat="false" ht="15" hidden="false" customHeight="false" outlineLevel="0" collapsed="false">
      <c r="A755" s="13" t="n">
        <v>45764</v>
      </c>
      <c r="B755" s="14" t="s">
        <v>54</v>
      </c>
      <c r="C755" s="15" t="n">
        <v>64.45</v>
      </c>
      <c r="D755" s="16" t="n">
        <v>46587883</v>
      </c>
    </row>
    <row r="756" customFormat="false" ht="15" hidden="false" customHeight="false" outlineLevel="0" collapsed="false">
      <c r="A756" s="13" t="n">
        <v>45765</v>
      </c>
      <c r="B756" s="14" t="s">
        <v>54</v>
      </c>
      <c r="C756" s="15" t="n">
        <v>64.37</v>
      </c>
      <c r="D756" s="16" t="n">
        <v>5273445</v>
      </c>
    </row>
    <row r="757" customFormat="false" ht="15" hidden="false" customHeight="false" outlineLevel="0" collapsed="false">
      <c r="A757" s="13" t="n">
        <v>45768</v>
      </c>
      <c r="B757" s="14" t="s">
        <v>54</v>
      </c>
      <c r="C757" s="15" t="n">
        <v>64.88</v>
      </c>
      <c r="D757" s="16" t="n">
        <v>4184790</v>
      </c>
    </row>
    <row r="758" customFormat="false" ht="15" hidden="false" customHeight="false" outlineLevel="0" collapsed="false">
      <c r="A758" s="13" t="n">
        <v>45769</v>
      </c>
      <c r="B758" s="14" t="s">
        <v>54</v>
      </c>
      <c r="C758" s="15" t="n">
        <v>65.27</v>
      </c>
      <c r="D758" s="16" t="n">
        <v>34134205</v>
      </c>
    </row>
    <row r="759" customFormat="false" ht="15" hidden="false" customHeight="false" outlineLevel="0" collapsed="false">
      <c r="A759" s="13" t="n">
        <v>45770</v>
      </c>
      <c r="B759" s="14" t="s">
        <v>54</v>
      </c>
      <c r="C759" s="15" t="n">
        <v>64.37</v>
      </c>
      <c r="D759" s="16" t="n">
        <v>48480620</v>
      </c>
    </row>
    <row r="760" customFormat="false" ht="15" hidden="false" customHeight="false" outlineLevel="0" collapsed="false">
      <c r="A760" s="13" t="n">
        <v>45771</v>
      </c>
      <c r="B760" s="14" t="s">
        <v>54</v>
      </c>
      <c r="C760" s="15" t="n">
        <v>65.22</v>
      </c>
      <c r="D760" s="16" t="n">
        <v>13529971</v>
      </c>
    </row>
    <row r="761" customFormat="false" ht="15" hidden="false" customHeight="false" outlineLevel="0" collapsed="false">
      <c r="A761" s="13" t="n">
        <v>45772</v>
      </c>
      <c r="B761" s="14" t="s">
        <v>54</v>
      </c>
      <c r="C761" s="15" t="n">
        <v>66.03</v>
      </c>
      <c r="D761" s="16" t="n">
        <v>7681935</v>
      </c>
    </row>
    <row r="762" customFormat="false" ht="15" hidden="false" customHeight="false" outlineLevel="0" collapsed="false">
      <c r="A762" s="13" t="n">
        <v>45775</v>
      </c>
      <c r="B762" s="14" t="s">
        <v>54</v>
      </c>
      <c r="C762" s="15" t="n">
        <v>65.68</v>
      </c>
      <c r="D762" s="16" t="n">
        <v>10963441</v>
      </c>
    </row>
    <row r="763" customFormat="false" ht="15" hidden="false" customHeight="false" outlineLevel="0" collapsed="false">
      <c r="A763" s="13" t="n">
        <v>45776</v>
      </c>
      <c r="B763" s="14" t="s">
        <v>54</v>
      </c>
      <c r="C763" s="15" t="n">
        <v>65.92</v>
      </c>
      <c r="D763" s="16" t="n">
        <v>7689142</v>
      </c>
    </row>
    <row r="764" customFormat="false" ht="15" hidden="false" customHeight="false" outlineLevel="0" collapsed="false">
      <c r="A764" s="13" t="n">
        <v>45777</v>
      </c>
      <c r="B764" s="14" t="s">
        <v>54</v>
      </c>
      <c r="C764" s="15" t="n">
        <v>66.22</v>
      </c>
      <c r="D764" s="16" t="n">
        <v>27336263</v>
      </c>
    </row>
    <row r="765" customFormat="false" ht="15" hidden="false" customHeight="false" outlineLevel="0" collapsed="false">
      <c r="A765" s="13" t="n">
        <v>45778</v>
      </c>
      <c r="B765" s="14" t="s">
        <v>54</v>
      </c>
      <c r="C765" s="15" t="n">
        <v>66.39</v>
      </c>
      <c r="D765" s="16" t="n">
        <v>5990961</v>
      </c>
    </row>
    <row r="766" customFormat="false" ht="15" hidden="false" customHeight="false" outlineLevel="0" collapsed="false">
      <c r="A766" s="13" t="n">
        <v>45779</v>
      </c>
      <c r="B766" s="14" t="s">
        <v>54</v>
      </c>
      <c r="C766" s="15" t="n">
        <v>66.08</v>
      </c>
      <c r="D766" s="16" t="n">
        <v>4646804</v>
      </c>
    </row>
    <row r="767" customFormat="false" ht="15" hidden="false" customHeight="false" outlineLevel="0" collapsed="false">
      <c r="A767" s="13" t="n">
        <v>45782</v>
      </c>
      <c r="B767" s="14" t="s">
        <v>54</v>
      </c>
      <c r="C767" s="15" t="n">
        <v>65.7</v>
      </c>
      <c r="D767" s="16" t="n">
        <v>1647296</v>
      </c>
    </row>
    <row r="768" customFormat="false" ht="15" hidden="false" customHeight="false" outlineLevel="0" collapsed="false">
      <c r="A768" s="13" t="n">
        <v>45783</v>
      </c>
      <c r="B768" s="14" t="s">
        <v>54</v>
      </c>
      <c r="C768" s="15" t="n">
        <v>65.7</v>
      </c>
      <c r="D768" s="16" t="n">
        <v>52880950</v>
      </c>
    </row>
    <row r="769" customFormat="false" ht="15" hidden="false" customHeight="false" outlineLevel="0" collapsed="false">
      <c r="A769" s="13" t="n">
        <v>45784</v>
      </c>
      <c r="B769" s="14" t="s">
        <v>54</v>
      </c>
      <c r="C769" s="15" t="n">
        <v>66.39</v>
      </c>
      <c r="D769" s="16" t="n">
        <v>4122951</v>
      </c>
    </row>
    <row r="770" customFormat="false" ht="15" hidden="false" customHeight="false" outlineLevel="0" collapsed="false">
      <c r="A770" s="13" t="n">
        <v>45785</v>
      </c>
      <c r="B770" s="14" t="s">
        <v>54</v>
      </c>
      <c r="C770" s="15" t="n">
        <v>66.72</v>
      </c>
      <c r="D770" s="16" t="n">
        <v>27844511</v>
      </c>
    </row>
    <row r="771" customFormat="false" ht="15" hidden="false" customHeight="false" outlineLevel="0" collapsed="false">
      <c r="A771" s="13" t="n">
        <v>45786</v>
      </c>
      <c r="B771" s="14" t="s">
        <v>54</v>
      </c>
      <c r="C771" s="15" t="n">
        <v>66.52</v>
      </c>
      <c r="D771" s="16" t="n">
        <v>1800101</v>
      </c>
    </row>
    <row r="772" customFormat="false" ht="15" hidden="false" customHeight="false" outlineLevel="0" collapsed="false">
      <c r="A772" s="13" t="n">
        <v>45789</v>
      </c>
      <c r="B772" s="14" t="s">
        <v>54</v>
      </c>
      <c r="C772" s="15" t="n">
        <v>66.98</v>
      </c>
      <c r="D772" s="16" t="n">
        <v>38655044</v>
      </c>
    </row>
    <row r="773" customFormat="false" ht="15" hidden="false" customHeight="false" outlineLevel="0" collapsed="false">
      <c r="A773" s="13" t="n">
        <v>45790</v>
      </c>
      <c r="B773" s="14" t="s">
        <v>54</v>
      </c>
      <c r="C773" s="15" t="n">
        <v>65.31</v>
      </c>
      <c r="D773" s="16" t="n">
        <v>44902446</v>
      </c>
    </row>
    <row r="774" customFormat="false" ht="15" hidden="false" customHeight="false" outlineLevel="0" collapsed="false">
      <c r="A774" s="13" t="n">
        <v>45791</v>
      </c>
      <c r="B774" s="14" t="s">
        <v>54</v>
      </c>
      <c r="C774" s="15" t="n">
        <v>65.99</v>
      </c>
      <c r="D774" s="16" t="n">
        <v>23655061</v>
      </c>
    </row>
    <row r="775" customFormat="false" ht="15" hidden="false" customHeight="false" outlineLevel="0" collapsed="false">
      <c r="A775" s="13" t="n">
        <v>45792</v>
      </c>
      <c r="B775" s="14" t="s">
        <v>54</v>
      </c>
      <c r="C775" s="15" t="n">
        <v>64.99</v>
      </c>
      <c r="D775" s="16" t="n">
        <v>23791342</v>
      </c>
    </row>
    <row r="776" customFormat="false" ht="15" hidden="false" customHeight="false" outlineLevel="0" collapsed="false">
      <c r="A776" s="13" t="n">
        <v>45793</v>
      </c>
      <c r="B776" s="14" t="s">
        <v>54</v>
      </c>
      <c r="C776" s="15" t="n">
        <v>64.79</v>
      </c>
      <c r="D776" s="16" t="n">
        <v>23015777</v>
      </c>
    </row>
    <row r="777" customFormat="false" ht="15" hidden="false" customHeight="false" outlineLevel="0" collapsed="false">
      <c r="A777" s="13" t="n">
        <v>45796</v>
      </c>
      <c r="B777" s="14" t="s">
        <v>54</v>
      </c>
      <c r="C777" s="15" t="n">
        <v>64.17</v>
      </c>
      <c r="D777" s="16" t="n">
        <v>24116992</v>
      </c>
    </row>
    <row r="778" customFormat="false" ht="15" hidden="false" customHeight="false" outlineLevel="0" collapsed="false">
      <c r="A778" s="13" t="n">
        <v>45797</v>
      </c>
      <c r="B778" s="14" t="s">
        <v>54</v>
      </c>
      <c r="C778" s="15" t="n">
        <v>63.45</v>
      </c>
      <c r="D778" s="16" t="n">
        <v>43907958</v>
      </c>
    </row>
    <row r="779" customFormat="false" ht="15" hidden="false" customHeight="false" outlineLevel="0" collapsed="false">
      <c r="A779" s="13" t="n">
        <v>45798</v>
      </c>
      <c r="B779" s="14" t="s">
        <v>54</v>
      </c>
      <c r="C779" s="15" t="n">
        <v>64.11</v>
      </c>
      <c r="D779" s="16" t="n">
        <v>43439798</v>
      </c>
    </row>
    <row r="780" customFormat="false" ht="15" hidden="false" customHeight="false" outlineLevel="0" collapsed="false">
      <c r="A780" s="13" t="n">
        <v>45799</v>
      </c>
      <c r="B780" s="14" t="s">
        <v>54</v>
      </c>
      <c r="C780" s="15" t="n">
        <v>63.86</v>
      </c>
      <c r="D780" s="16" t="n">
        <v>31555353</v>
      </c>
    </row>
    <row r="781" customFormat="false" ht="15" hidden="false" customHeight="false" outlineLevel="0" collapsed="false">
      <c r="A781" s="13" t="n">
        <v>45800</v>
      </c>
      <c r="B781" s="14" t="s">
        <v>54</v>
      </c>
      <c r="C781" s="15" t="n">
        <v>64.07</v>
      </c>
      <c r="D781" s="16" t="n">
        <v>49846793</v>
      </c>
    </row>
    <row r="782" customFormat="false" ht="15" hidden="false" customHeight="false" outlineLevel="0" collapsed="false">
      <c r="A782" s="13" t="n">
        <v>45803</v>
      </c>
      <c r="B782" s="14" t="s">
        <v>54</v>
      </c>
      <c r="C782" s="15" t="n">
        <v>64.05</v>
      </c>
      <c r="D782" s="16" t="n">
        <v>9121757</v>
      </c>
    </row>
    <row r="783" customFormat="false" ht="15" hidden="false" customHeight="false" outlineLevel="0" collapsed="false">
      <c r="A783" s="13" t="n">
        <v>45804</v>
      </c>
      <c r="B783" s="14" t="s">
        <v>54</v>
      </c>
      <c r="C783" s="15" t="n">
        <v>64.33</v>
      </c>
      <c r="D783" s="16" t="n">
        <v>55974577</v>
      </c>
    </row>
    <row r="784" customFormat="false" ht="15" hidden="false" customHeight="false" outlineLevel="0" collapsed="false">
      <c r="A784" s="13" t="n">
        <v>45805</v>
      </c>
      <c r="B784" s="14" t="s">
        <v>54</v>
      </c>
      <c r="C784" s="15" t="n">
        <v>64.39</v>
      </c>
      <c r="D784" s="16" t="n">
        <v>42971665</v>
      </c>
    </row>
    <row r="785" customFormat="false" ht="15" hidden="false" customHeight="false" outlineLevel="0" collapsed="false">
      <c r="A785" s="13" t="n">
        <v>45806</v>
      </c>
      <c r="B785" s="14" t="s">
        <v>54</v>
      </c>
      <c r="C785" s="15" t="n">
        <v>63.67</v>
      </c>
      <c r="D785" s="16" t="n">
        <v>37387984</v>
      </c>
    </row>
    <row r="786" customFormat="false" ht="15" hidden="false" customHeight="false" outlineLevel="0" collapsed="false">
      <c r="A786" s="13" t="n">
        <v>45807</v>
      </c>
      <c r="B786" s="14" t="s">
        <v>54</v>
      </c>
      <c r="C786" s="15" t="n">
        <v>64.25</v>
      </c>
      <c r="D786" s="16" t="n">
        <v>12820569</v>
      </c>
    </row>
    <row r="787" customFormat="false" ht="15" hidden="false" customHeight="false" outlineLevel="0" collapsed="false">
      <c r="A787" s="13" t="n">
        <v>45810</v>
      </c>
      <c r="B787" s="14" t="s">
        <v>54</v>
      </c>
      <c r="C787" s="15" t="n">
        <v>63.98</v>
      </c>
      <c r="D787" s="16" t="n">
        <v>41930951</v>
      </c>
    </row>
    <row r="788" customFormat="false" ht="15" hidden="false" customHeight="false" outlineLevel="0" collapsed="false">
      <c r="A788" s="13" t="n">
        <v>45811</v>
      </c>
      <c r="B788" s="14" t="s">
        <v>54</v>
      </c>
      <c r="C788" s="15" t="n">
        <v>63.11</v>
      </c>
      <c r="D788" s="16" t="n">
        <v>23479150</v>
      </c>
    </row>
    <row r="789" customFormat="false" ht="15" hidden="false" customHeight="false" outlineLevel="0" collapsed="false">
      <c r="A789" s="13" t="n">
        <v>45812</v>
      </c>
      <c r="B789" s="14" t="s">
        <v>54</v>
      </c>
      <c r="C789" s="15" t="n">
        <v>62.89</v>
      </c>
      <c r="D789" s="16" t="n">
        <v>35831079</v>
      </c>
    </row>
    <row r="790" customFormat="false" ht="15" hidden="false" customHeight="false" outlineLevel="0" collapsed="false">
      <c r="A790" s="13" t="n">
        <v>45813</v>
      </c>
      <c r="B790" s="14" t="s">
        <v>54</v>
      </c>
      <c r="C790" s="15" t="n">
        <v>63.73</v>
      </c>
      <c r="D790" s="16" t="n">
        <v>13431216</v>
      </c>
    </row>
    <row r="791" customFormat="false" ht="15" hidden="false" customHeight="false" outlineLevel="0" collapsed="false">
      <c r="A791" s="13" t="n">
        <v>45814</v>
      </c>
      <c r="B791" s="14" t="s">
        <v>54</v>
      </c>
      <c r="C791" s="15" t="n">
        <v>64.22</v>
      </c>
      <c r="D791" s="16" t="n">
        <v>17040922</v>
      </c>
    </row>
    <row r="792" customFormat="false" ht="15" hidden="false" customHeight="false" outlineLevel="0" collapsed="false">
      <c r="A792" s="13" t="n">
        <v>45817</v>
      </c>
      <c r="B792" s="14" t="s">
        <v>54</v>
      </c>
      <c r="C792" s="15" t="n">
        <v>64.04</v>
      </c>
      <c r="D792" s="16" t="n">
        <v>39971207</v>
      </c>
    </row>
    <row r="793" customFormat="false" ht="15" hidden="false" customHeight="false" outlineLevel="0" collapsed="false">
      <c r="A793" s="13" t="n">
        <v>45818</v>
      </c>
      <c r="B793" s="14" t="s">
        <v>54</v>
      </c>
      <c r="C793" s="15" t="n">
        <v>63.85</v>
      </c>
      <c r="D793" s="16" t="n">
        <v>9704813</v>
      </c>
    </row>
    <row r="794" customFormat="false" ht="15" hidden="false" customHeight="false" outlineLevel="0" collapsed="false">
      <c r="A794" s="13" t="n">
        <v>45819</v>
      </c>
      <c r="B794" s="14" t="s">
        <v>54</v>
      </c>
      <c r="C794" s="15" t="n">
        <v>63.69</v>
      </c>
      <c r="D794" s="16" t="n">
        <v>54376963</v>
      </c>
    </row>
    <row r="795" customFormat="false" ht="15" hidden="false" customHeight="false" outlineLevel="0" collapsed="false">
      <c r="A795" s="13" t="n">
        <v>45820</v>
      </c>
      <c r="B795" s="14" t="s">
        <v>54</v>
      </c>
      <c r="C795" s="15" t="n">
        <v>64.87</v>
      </c>
      <c r="D795" s="16" t="n">
        <v>20921696</v>
      </c>
    </row>
    <row r="796" customFormat="false" ht="15" hidden="false" customHeight="false" outlineLevel="0" collapsed="false">
      <c r="A796" s="13" t="n">
        <v>45821</v>
      </c>
      <c r="B796" s="14" t="s">
        <v>54</v>
      </c>
      <c r="C796" s="15" t="n">
        <v>65.1</v>
      </c>
      <c r="D796" s="16" t="n">
        <v>30461504</v>
      </c>
    </row>
    <row r="797" customFormat="false" ht="15" hidden="false" customHeight="false" outlineLevel="0" collapsed="false">
      <c r="A797" s="13" t="n">
        <v>45824</v>
      </c>
      <c r="B797" s="14" t="s">
        <v>54</v>
      </c>
      <c r="C797" s="15" t="n">
        <v>65.36</v>
      </c>
      <c r="D797" s="16" t="n">
        <v>54902482</v>
      </c>
    </row>
    <row r="798" customFormat="false" ht="15" hidden="false" customHeight="false" outlineLevel="0" collapsed="false">
      <c r="A798" s="13" t="n">
        <v>45825</v>
      </c>
      <c r="B798" s="14" t="s">
        <v>54</v>
      </c>
      <c r="C798" s="15" t="n">
        <v>65.96</v>
      </c>
      <c r="D798" s="16" t="n">
        <v>15497054</v>
      </c>
    </row>
    <row r="799" customFormat="false" ht="15" hidden="false" customHeight="false" outlineLevel="0" collapsed="false">
      <c r="A799" s="13" t="n">
        <v>45826</v>
      </c>
      <c r="B799" s="14" t="s">
        <v>54</v>
      </c>
      <c r="C799" s="15" t="n">
        <v>66.12</v>
      </c>
      <c r="D799" s="16" t="n">
        <v>12319247</v>
      </c>
    </row>
    <row r="800" customFormat="false" ht="15" hidden="false" customHeight="false" outlineLevel="0" collapsed="false">
      <c r="A800" s="13" t="n">
        <v>45827</v>
      </c>
      <c r="B800" s="14" t="s">
        <v>54</v>
      </c>
      <c r="C800" s="15" t="n">
        <v>65.98</v>
      </c>
      <c r="D800" s="16" t="n">
        <v>14913140</v>
      </c>
    </row>
    <row r="801" customFormat="false" ht="15" hidden="false" customHeight="false" outlineLevel="0" collapsed="false">
      <c r="A801" s="13" t="n">
        <v>45828</v>
      </c>
      <c r="B801" s="14" t="s">
        <v>54</v>
      </c>
      <c r="C801" s="15" t="n">
        <v>65.88</v>
      </c>
      <c r="D801" s="16" t="n">
        <v>47048559</v>
      </c>
    </row>
    <row r="802" customFormat="false" ht="15" hidden="false" customHeight="false" outlineLevel="0" collapsed="false">
      <c r="A802" s="13" t="n">
        <v>45719</v>
      </c>
      <c r="B802" s="14" t="s">
        <v>61</v>
      </c>
      <c r="C802" s="15" t="n">
        <v>7500</v>
      </c>
      <c r="D802" s="16" t="n">
        <v>21523385</v>
      </c>
    </row>
    <row r="803" customFormat="false" ht="15" hidden="false" customHeight="false" outlineLevel="0" collapsed="false">
      <c r="A803" s="13" t="n">
        <v>45720</v>
      </c>
      <c r="B803" s="14" t="s">
        <v>61</v>
      </c>
      <c r="C803" s="15" t="n">
        <v>7524.21</v>
      </c>
      <c r="D803" s="16" t="n">
        <v>7002296</v>
      </c>
    </row>
    <row r="804" customFormat="false" ht="15" hidden="false" customHeight="false" outlineLevel="0" collapsed="false">
      <c r="A804" s="13" t="n">
        <v>45721</v>
      </c>
      <c r="B804" s="14" t="s">
        <v>61</v>
      </c>
      <c r="C804" s="15" t="n">
        <v>7602.23</v>
      </c>
      <c r="D804" s="16" t="n">
        <v>51407036</v>
      </c>
    </row>
    <row r="805" customFormat="false" ht="15" hidden="false" customHeight="false" outlineLevel="0" collapsed="false">
      <c r="A805" s="13" t="n">
        <v>45722</v>
      </c>
      <c r="B805" s="14" t="s">
        <v>61</v>
      </c>
      <c r="C805" s="15" t="n">
        <v>7584.7</v>
      </c>
      <c r="D805" s="16" t="n">
        <v>41364615</v>
      </c>
    </row>
    <row r="806" customFormat="false" ht="15" hidden="false" customHeight="false" outlineLevel="0" collapsed="false">
      <c r="A806" s="13" t="n">
        <v>45723</v>
      </c>
      <c r="B806" s="14" t="s">
        <v>61</v>
      </c>
      <c r="C806" s="15" t="n">
        <v>7612.54</v>
      </c>
      <c r="D806" s="16" t="n">
        <v>19552983</v>
      </c>
    </row>
    <row r="807" customFormat="false" ht="15" hidden="false" customHeight="false" outlineLevel="0" collapsed="false">
      <c r="A807" s="13" t="n">
        <v>45726</v>
      </c>
      <c r="B807" s="14" t="s">
        <v>61</v>
      </c>
      <c r="C807" s="15" t="n">
        <v>7724.47</v>
      </c>
      <c r="D807" s="16" t="n">
        <v>42538255</v>
      </c>
    </row>
    <row r="808" customFormat="false" ht="15" hidden="false" customHeight="false" outlineLevel="0" collapsed="false">
      <c r="A808" s="13" t="n">
        <v>45727</v>
      </c>
      <c r="B808" s="14" t="s">
        <v>61</v>
      </c>
      <c r="C808" s="15" t="n">
        <v>7770.25</v>
      </c>
      <c r="D808" s="16" t="n">
        <v>42927728</v>
      </c>
    </row>
    <row r="809" customFormat="false" ht="15" hidden="false" customHeight="false" outlineLevel="0" collapsed="false">
      <c r="A809" s="13" t="n">
        <v>45728</v>
      </c>
      <c r="B809" s="14" t="s">
        <v>61</v>
      </c>
      <c r="C809" s="15" t="n">
        <v>7799.95</v>
      </c>
      <c r="D809" s="16" t="n">
        <v>11718361</v>
      </c>
    </row>
    <row r="810" customFormat="false" ht="15" hidden="false" customHeight="false" outlineLevel="0" collapsed="false">
      <c r="A810" s="13" t="n">
        <v>45729</v>
      </c>
      <c r="B810" s="14" t="s">
        <v>61</v>
      </c>
      <c r="C810" s="15" t="n">
        <v>7669.36</v>
      </c>
      <c r="D810" s="16" t="n">
        <v>25245082</v>
      </c>
    </row>
    <row r="811" customFormat="false" ht="15" hidden="false" customHeight="false" outlineLevel="0" collapsed="false">
      <c r="A811" s="13" t="n">
        <v>45730</v>
      </c>
      <c r="B811" s="14" t="s">
        <v>61</v>
      </c>
      <c r="C811" s="15" t="n">
        <v>7599</v>
      </c>
      <c r="D811" s="16" t="n">
        <v>23271555</v>
      </c>
    </row>
    <row r="812" customFormat="false" ht="15" hidden="false" customHeight="false" outlineLevel="0" collapsed="false">
      <c r="A812" s="13" t="n">
        <v>45733</v>
      </c>
      <c r="B812" s="14" t="s">
        <v>61</v>
      </c>
      <c r="C812" s="15" t="n">
        <v>7681</v>
      </c>
      <c r="D812" s="16" t="n">
        <v>40432241</v>
      </c>
    </row>
    <row r="813" customFormat="false" ht="15" hidden="false" customHeight="false" outlineLevel="0" collapsed="false">
      <c r="A813" s="13" t="n">
        <v>45734</v>
      </c>
      <c r="B813" s="14" t="s">
        <v>61</v>
      </c>
      <c r="C813" s="15" t="n">
        <v>7726.95</v>
      </c>
      <c r="D813" s="16" t="n">
        <v>57728215</v>
      </c>
    </row>
    <row r="814" customFormat="false" ht="15" hidden="false" customHeight="false" outlineLevel="0" collapsed="false">
      <c r="A814" s="13" t="n">
        <v>45735</v>
      </c>
      <c r="B814" s="14" t="s">
        <v>61</v>
      </c>
      <c r="C814" s="15" t="n">
        <v>7784.98</v>
      </c>
      <c r="D814" s="16" t="n">
        <v>44440658</v>
      </c>
    </row>
    <row r="815" customFormat="false" ht="15" hidden="false" customHeight="false" outlineLevel="0" collapsed="false">
      <c r="A815" s="13" t="n">
        <v>45736</v>
      </c>
      <c r="B815" s="14" t="s">
        <v>61</v>
      </c>
      <c r="C815" s="15" t="n">
        <v>7836.69</v>
      </c>
      <c r="D815" s="16" t="n">
        <v>32886947</v>
      </c>
    </row>
    <row r="816" customFormat="false" ht="15" hidden="false" customHeight="false" outlineLevel="0" collapsed="false">
      <c r="A816" s="13" t="n">
        <v>45737</v>
      </c>
      <c r="B816" s="14" t="s">
        <v>61</v>
      </c>
      <c r="C816" s="15" t="n">
        <v>7940.43</v>
      </c>
      <c r="D816" s="16" t="n">
        <v>9002619</v>
      </c>
    </row>
    <row r="817" customFormat="false" ht="15" hidden="false" customHeight="false" outlineLevel="0" collapsed="false">
      <c r="A817" s="13" t="n">
        <v>45740</v>
      </c>
      <c r="B817" s="14" t="s">
        <v>61</v>
      </c>
      <c r="C817" s="15" t="n">
        <v>7921.4</v>
      </c>
      <c r="D817" s="16" t="n">
        <v>49532681</v>
      </c>
    </row>
    <row r="818" customFormat="false" ht="15" hidden="false" customHeight="false" outlineLevel="0" collapsed="false">
      <c r="A818" s="13" t="n">
        <v>45741</v>
      </c>
      <c r="B818" s="14" t="s">
        <v>61</v>
      </c>
      <c r="C818" s="15" t="n">
        <v>7932.9</v>
      </c>
      <c r="D818" s="16" t="n">
        <v>55352728</v>
      </c>
    </row>
    <row r="819" customFormat="false" ht="15" hidden="false" customHeight="false" outlineLevel="0" collapsed="false">
      <c r="A819" s="13" t="n">
        <v>45742</v>
      </c>
      <c r="B819" s="14" t="s">
        <v>61</v>
      </c>
      <c r="C819" s="15" t="n">
        <v>7852.54</v>
      </c>
      <c r="D819" s="16" t="n">
        <v>8667857</v>
      </c>
    </row>
    <row r="820" customFormat="false" ht="15" hidden="false" customHeight="false" outlineLevel="0" collapsed="false">
      <c r="A820" s="13" t="n">
        <v>45743</v>
      </c>
      <c r="B820" s="14" t="s">
        <v>61</v>
      </c>
      <c r="C820" s="15" t="n">
        <v>7753.26</v>
      </c>
      <c r="D820" s="16" t="n">
        <v>5428690</v>
      </c>
    </row>
    <row r="821" customFormat="false" ht="15" hidden="false" customHeight="false" outlineLevel="0" collapsed="false">
      <c r="A821" s="13" t="n">
        <v>45744</v>
      </c>
      <c r="B821" s="14" t="s">
        <v>61</v>
      </c>
      <c r="C821" s="15" t="n">
        <v>7626.66</v>
      </c>
      <c r="D821" s="16" t="n">
        <v>39993865</v>
      </c>
    </row>
    <row r="822" customFormat="false" ht="15" hidden="false" customHeight="false" outlineLevel="0" collapsed="false">
      <c r="A822" s="13" t="n">
        <v>45747</v>
      </c>
      <c r="B822" s="14" t="s">
        <v>61</v>
      </c>
      <c r="C822" s="15" t="n">
        <v>7560.43</v>
      </c>
      <c r="D822" s="16" t="n">
        <v>9889782</v>
      </c>
    </row>
    <row r="823" customFormat="false" ht="15" hidden="false" customHeight="false" outlineLevel="0" collapsed="false">
      <c r="A823" s="13" t="n">
        <v>45748</v>
      </c>
      <c r="B823" s="14" t="s">
        <v>61</v>
      </c>
      <c r="C823" s="15" t="n">
        <v>7680.54</v>
      </c>
      <c r="D823" s="16" t="n">
        <v>37436209</v>
      </c>
    </row>
    <row r="824" customFormat="false" ht="15" hidden="false" customHeight="false" outlineLevel="0" collapsed="false">
      <c r="A824" s="13" t="n">
        <v>45749</v>
      </c>
      <c r="B824" s="14" t="s">
        <v>61</v>
      </c>
      <c r="C824" s="15" t="n">
        <v>7562.17</v>
      </c>
      <c r="D824" s="16" t="n">
        <v>54080644</v>
      </c>
    </row>
    <row r="825" customFormat="false" ht="15" hidden="false" customHeight="false" outlineLevel="0" collapsed="false">
      <c r="A825" s="13" t="n">
        <v>45750</v>
      </c>
      <c r="B825" s="14" t="s">
        <v>61</v>
      </c>
      <c r="C825" s="15" t="n">
        <v>7540.83</v>
      </c>
      <c r="D825" s="16" t="n">
        <v>51526894</v>
      </c>
    </row>
    <row r="826" customFormat="false" ht="15" hidden="false" customHeight="false" outlineLevel="0" collapsed="false">
      <c r="A826" s="13" t="n">
        <v>45751</v>
      </c>
      <c r="B826" s="14" t="s">
        <v>61</v>
      </c>
      <c r="C826" s="15" t="n">
        <v>7444.34</v>
      </c>
      <c r="D826" s="16" t="n">
        <v>4696176</v>
      </c>
    </row>
    <row r="827" customFormat="false" ht="15" hidden="false" customHeight="false" outlineLevel="0" collapsed="false">
      <c r="A827" s="13" t="n">
        <v>45754</v>
      </c>
      <c r="B827" s="14" t="s">
        <v>61</v>
      </c>
      <c r="C827" s="15" t="n">
        <v>7401.03</v>
      </c>
      <c r="D827" s="16" t="n">
        <v>11732002</v>
      </c>
    </row>
    <row r="828" customFormat="false" ht="15" hidden="false" customHeight="false" outlineLevel="0" collapsed="false">
      <c r="A828" s="13" t="n">
        <v>45755</v>
      </c>
      <c r="B828" s="14" t="s">
        <v>61</v>
      </c>
      <c r="C828" s="15" t="n">
        <v>7415.45</v>
      </c>
      <c r="D828" s="16" t="n">
        <v>43454123</v>
      </c>
    </row>
    <row r="829" customFormat="false" ht="15" hidden="false" customHeight="false" outlineLevel="0" collapsed="false">
      <c r="A829" s="13" t="n">
        <v>45756</v>
      </c>
      <c r="B829" s="14" t="s">
        <v>61</v>
      </c>
      <c r="C829" s="15" t="n">
        <v>7364.88</v>
      </c>
      <c r="D829" s="16" t="n">
        <v>15697697</v>
      </c>
    </row>
    <row r="830" customFormat="false" ht="15" hidden="false" customHeight="false" outlineLevel="0" collapsed="false">
      <c r="A830" s="13" t="n">
        <v>45757</v>
      </c>
      <c r="B830" s="14" t="s">
        <v>61</v>
      </c>
      <c r="C830" s="15" t="n">
        <v>7447.52</v>
      </c>
      <c r="D830" s="16" t="n">
        <v>18789600</v>
      </c>
    </row>
    <row r="831" customFormat="false" ht="15" hidden="false" customHeight="false" outlineLevel="0" collapsed="false">
      <c r="A831" s="13" t="n">
        <v>45758</v>
      </c>
      <c r="B831" s="14" t="s">
        <v>61</v>
      </c>
      <c r="C831" s="15" t="n">
        <v>7564.44</v>
      </c>
      <c r="D831" s="16" t="n">
        <v>59475126</v>
      </c>
    </row>
    <row r="832" customFormat="false" ht="15" hidden="false" customHeight="false" outlineLevel="0" collapsed="false">
      <c r="A832" s="13" t="n">
        <v>45761</v>
      </c>
      <c r="B832" s="14" t="s">
        <v>61</v>
      </c>
      <c r="C832" s="15" t="n">
        <v>7394.77</v>
      </c>
      <c r="D832" s="16" t="n">
        <v>18644180</v>
      </c>
    </row>
    <row r="833" customFormat="false" ht="15" hidden="false" customHeight="false" outlineLevel="0" collapsed="false">
      <c r="A833" s="13" t="n">
        <v>45762</v>
      </c>
      <c r="B833" s="14" t="s">
        <v>61</v>
      </c>
      <c r="C833" s="15" t="n">
        <v>7345.62</v>
      </c>
      <c r="D833" s="16" t="n">
        <v>9437712</v>
      </c>
    </row>
    <row r="834" customFormat="false" ht="15" hidden="false" customHeight="false" outlineLevel="0" collapsed="false">
      <c r="A834" s="13" t="n">
        <v>45763</v>
      </c>
      <c r="B834" s="14" t="s">
        <v>61</v>
      </c>
      <c r="C834" s="15" t="n">
        <v>7351.75</v>
      </c>
      <c r="D834" s="16" t="n">
        <v>29222101</v>
      </c>
    </row>
    <row r="835" customFormat="false" ht="15" hidden="false" customHeight="false" outlineLevel="0" collapsed="false">
      <c r="A835" s="13" t="n">
        <v>45764</v>
      </c>
      <c r="B835" s="14" t="s">
        <v>61</v>
      </c>
      <c r="C835" s="15" t="n">
        <v>7436.95</v>
      </c>
      <c r="D835" s="16" t="n">
        <v>35418095</v>
      </c>
    </row>
    <row r="836" customFormat="false" ht="15" hidden="false" customHeight="false" outlineLevel="0" collapsed="false">
      <c r="A836" s="13" t="n">
        <v>45765</v>
      </c>
      <c r="B836" s="14" t="s">
        <v>61</v>
      </c>
      <c r="C836" s="15" t="n">
        <v>7404.67</v>
      </c>
      <c r="D836" s="16" t="n">
        <v>6783182</v>
      </c>
    </row>
    <row r="837" customFormat="false" ht="15" hidden="false" customHeight="false" outlineLevel="0" collapsed="false">
      <c r="A837" s="13" t="n">
        <v>45768</v>
      </c>
      <c r="B837" s="14" t="s">
        <v>61</v>
      </c>
      <c r="C837" s="15" t="n">
        <v>7404.94</v>
      </c>
      <c r="D837" s="16" t="n">
        <v>50375650</v>
      </c>
    </row>
    <row r="838" customFormat="false" ht="15" hidden="false" customHeight="false" outlineLevel="0" collapsed="false">
      <c r="A838" s="13" t="n">
        <v>45769</v>
      </c>
      <c r="B838" s="14" t="s">
        <v>61</v>
      </c>
      <c r="C838" s="15" t="n">
        <v>7320.37</v>
      </c>
      <c r="D838" s="16" t="n">
        <v>58312219</v>
      </c>
    </row>
    <row r="839" customFormat="false" ht="15" hidden="false" customHeight="false" outlineLevel="0" collapsed="false">
      <c r="A839" s="13" t="n">
        <v>45770</v>
      </c>
      <c r="B839" s="14" t="s">
        <v>61</v>
      </c>
      <c r="C839" s="15" t="n">
        <v>7209.02</v>
      </c>
      <c r="D839" s="16" t="n">
        <v>14147590</v>
      </c>
    </row>
    <row r="840" customFormat="false" ht="15" hidden="false" customHeight="false" outlineLevel="0" collapsed="false">
      <c r="A840" s="13" t="n">
        <v>45771</v>
      </c>
      <c r="B840" s="14" t="s">
        <v>61</v>
      </c>
      <c r="C840" s="15" t="n">
        <v>7315.76</v>
      </c>
      <c r="D840" s="16" t="n">
        <v>56666186</v>
      </c>
    </row>
    <row r="841" customFormat="false" ht="15" hidden="false" customHeight="false" outlineLevel="0" collapsed="false">
      <c r="A841" s="13" t="n">
        <v>45772</v>
      </c>
      <c r="B841" s="14" t="s">
        <v>61</v>
      </c>
      <c r="C841" s="15" t="n">
        <v>7183</v>
      </c>
      <c r="D841" s="16" t="n">
        <v>57681097</v>
      </c>
    </row>
    <row r="842" customFormat="false" ht="15" hidden="false" customHeight="false" outlineLevel="0" collapsed="false">
      <c r="A842" s="13" t="n">
        <v>45775</v>
      </c>
      <c r="B842" s="14" t="s">
        <v>61</v>
      </c>
      <c r="C842" s="15" t="n">
        <v>7353.3</v>
      </c>
      <c r="D842" s="16" t="n">
        <v>30565896</v>
      </c>
    </row>
    <row r="843" customFormat="false" ht="15" hidden="false" customHeight="false" outlineLevel="0" collapsed="false">
      <c r="A843" s="13" t="n">
        <v>45776</v>
      </c>
      <c r="B843" s="14" t="s">
        <v>61</v>
      </c>
      <c r="C843" s="15" t="n">
        <v>7408.8</v>
      </c>
      <c r="D843" s="16" t="n">
        <v>2206861</v>
      </c>
    </row>
    <row r="844" customFormat="false" ht="15" hidden="false" customHeight="false" outlineLevel="0" collapsed="false">
      <c r="A844" s="13" t="n">
        <v>45777</v>
      </c>
      <c r="B844" s="14" t="s">
        <v>61</v>
      </c>
      <c r="C844" s="15" t="n">
        <v>7461.34</v>
      </c>
      <c r="D844" s="16" t="n">
        <v>31131276</v>
      </c>
    </row>
    <row r="845" customFormat="false" ht="15" hidden="false" customHeight="false" outlineLevel="0" collapsed="false">
      <c r="A845" s="13" t="n">
        <v>45778</v>
      </c>
      <c r="B845" s="14" t="s">
        <v>61</v>
      </c>
      <c r="C845" s="15" t="n">
        <v>7506.39</v>
      </c>
      <c r="D845" s="16" t="n">
        <v>4119612</v>
      </c>
    </row>
    <row r="846" customFormat="false" ht="15" hidden="false" customHeight="false" outlineLevel="0" collapsed="false">
      <c r="A846" s="13" t="n">
        <v>45779</v>
      </c>
      <c r="B846" s="14" t="s">
        <v>61</v>
      </c>
      <c r="C846" s="15" t="n">
        <v>7489.06</v>
      </c>
      <c r="D846" s="16" t="n">
        <v>50734072</v>
      </c>
    </row>
    <row r="847" customFormat="false" ht="15" hidden="false" customHeight="false" outlineLevel="0" collapsed="false">
      <c r="A847" s="13" t="n">
        <v>45782</v>
      </c>
      <c r="B847" s="14" t="s">
        <v>61</v>
      </c>
      <c r="C847" s="15" t="n">
        <v>7520.44</v>
      </c>
      <c r="D847" s="16" t="n">
        <v>54222653</v>
      </c>
    </row>
    <row r="848" customFormat="false" ht="15" hidden="false" customHeight="false" outlineLevel="0" collapsed="false">
      <c r="A848" s="13" t="n">
        <v>45783</v>
      </c>
      <c r="B848" s="14" t="s">
        <v>61</v>
      </c>
      <c r="C848" s="15" t="n">
        <v>7507.91</v>
      </c>
      <c r="D848" s="16" t="n">
        <v>5936600</v>
      </c>
    </row>
    <row r="849" customFormat="false" ht="15" hidden="false" customHeight="false" outlineLevel="0" collapsed="false">
      <c r="A849" s="13" t="n">
        <v>45784</v>
      </c>
      <c r="B849" s="14" t="s">
        <v>61</v>
      </c>
      <c r="C849" s="15" t="n">
        <v>7551.55</v>
      </c>
      <c r="D849" s="16" t="n">
        <v>15648065</v>
      </c>
    </row>
    <row r="850" customFormat="false" ht="15" hidden="false" customHeight="false" outlineLevel="0" collapsed="false">
      <c r="A850" s="13" t="n">
        <v>45785</v>
      </c>
      <c r="B850" s="14" t="s">
        <v>61</v>
      </c>
      <c r="C850" s="15" t="n">
        <v>7550.78</v>
      </c>
      <c r="D850" s="16" t="n">
        <v>39290751</v>
      </c>
    </row>
    <row r="851" customFormat="false" ht="15" hidden="false" customHeight="false" outlineLevel="0" collapsed="false">
      <c r="A851" s="13" t="n">
        <v>45786</v>
      </c>
      <c r="B851" s="14" t="s">
        <v>61</v>
      </c>
      <c r="C851" s="15" t="n">
        <v>7480.26</v>
      </c>
      <c r="D851" s="16" t="n">
        <v>50133346</v>
      </c>
    </row>
    <row r="852" customFormat="false" ht="15" hidden="false" customHeight="false" outlineLevel="0" collapsed="false">
      <c r="A852" s="13" t="n">
        <v>45789</v>
      </c>
      <c r="B852" s="14" t="s">
        <v>61</v>
      </c>
      <c r="C852" s="15" t="n">
        <v>7416.4</v>
      </c>
      <c r="D852" s="16" t="n">
        <v>15160134</v>
      </c>
    </row>
    <row r="853" customFormat="false" ht="15" hidden="false" customHeight="false" outlineLevel="0" collapsed="false">
      <c r="A853" s="13" t="n">
        <v>45790</v>
      </c>
      <c r="B853" s="14" t="s">
        <v>61</v>
      </c>
      <c r="C853" s="15" t="n">
        <v>7344.59</v>
      </c>
      <c r="D853" s="16" t="n">
        <v>33833108</v>
      </c>
    </row>
    <row r="854" customFormat="false" ht="15" hidden="false" customHeight="false" outlineLevel="0" collapsed="false">
      <c r="A854" s="13" t="n">
        <v>45791</v>
      </c>
      <c r="B854" s="14" t="s">
        <v>61</v>
      </c>
      <c r="C854" s="15" t="n">
        <v>7418.21</v>
      </c>
      <c r="D854" s="16" t="n">
        <v>18034897</v>
      </c>
    </row>
    <row r="855" customFormat="false" ht="15" hidden="false" customHeight="false" outlineLevel="0" collapsed="false">
      <c r="A855" s="13" t="n">
        <v>45792</v>
      </c>
      <c r="B855" s="14" t="s">
        <v>61</v>
      </c>
      <c r="C855" s="15" t="n">
        <v>7373.81</v>
      </c>
      <c r="D855" s="16" t="n">
        <v>59814274</v>
      </c>
    </row>
    <row r="856" customFormat="false" ht="15" hidden="false" customHeight="false" outlineLevel="0" collapsed="false">
      <c r="A856" s="13" t="n">
        <v>45793</v>
      </c>
      <c r="B856" s="14" t="s">
        <v>61</v>
      </c>
      <c r="C856" s="15" t="n">
        <v>7233.46</v>
      </c>
      <c r="D856" s="16" t="n">
        <v>23406697</v>
      </c>
    </row>
    <row r="857" customFormat="false" ht="15" hidden="false" customHeight="false" outlineLevel="0" collapsed="false">
      <c r="A857" s="13" t="n">
        <v>45796</v>
      </c>
      <c r="B857" s="14" t="s">
        <v>61</v>
      </c>
      <c r="C857" s="15" t="n">
        <v>7264.11</v>
      </c>
      <c r="D857" s="16" t="n">
        <v>28164021</v>
      </c>
    </row>
    <row r="858" customFormat="false" ht="15" hidden="false" customHeight="false" outlineLevel="0" collapsed="false">
      <c r="A858" s="13" t="n">
        <v>45797</v>
      </c>
      <c r="B858" s="14" t="s">
        <v>61</v>
      </c>
      <c r="C858" s="15" t="n">
        <v>7376.73</v>
      </c>
      <c r="D858" s="16" t="n">
        <v>36609212</v>
      </c>
    </row>
    <row r="859" customFormat="false" ht="15" hidden="false" customHeight="false" outlineLevel="0" collapsed="false">
      <c r="A859" s="13" t="n">
        <v>45798</v>
      </c>
      <c r="B859" s="14" t="s">
        <v>61</v>
      </c>
      <c r="C859" s="15" t="n">
        <v>7435.97</v>
      </c>
      <c r="D859" s="16" t="n">
        <v>25768424</v>
      </c>
    </row>
    <row r="860" customFormat="false" ht="15" hidden="false" customHeight="false" outlineLevel="0" collapsed="false">
      <c r="A860" s="13" t="n">
        <v>45799</v>
      </c>
      <c r="B860" s="14" t="s">
        <v>61</v>
      </c>
      <c r="C860" s="15" t="n">
        <v>7392.52</v>
      </c>
      <c r="D860" s="16" t="n">
        <v>22200624</v>
      </c>
    </row>
    <row r="861" customFormat="false" ht="15" hidden="false" customHeight="false" outlineLevel="0" collapsed="false">
      <c r="A861" s="13" t="n">
        <v>45800</v>
      </c>
      <c r="B861" s="14" t="s">
        <v>61</v>
      </c>
      <c r="C861" s="15" t="n">
        <v>7276.05</v>
      </c>
      <c r="D861" s="16" t="n">
        <v>1842186</v>
      </c>
    </row>
    <row r="862" customFormat="false" ht="15" hidden="false" customHeight="false" outlineLevel="0" collapsed="false">
      <c r="A862" s="13" t="n">
        <v>45803</v>
      </c>
      <c r="B862" s="14" t="s">
        <v>61</v>
      </c>
      <c r="C862" s="15" t="n">
        <v>7267.93</v>
      </c>
      <c r="D862" s="16" t="n">
        <v>30553638</v>
      </c>
    </row>
    <row r="863" customFormat="false" ht="15" hidden="false" customHeight="false" outlineLevel="0" collapsed="false">
      <c r="A863" s="13" t="n">
        <v>45804</v>
      </c>
      <c r="B863" s="14" t="s">
        <v>61</v>
      </c>
      <c r="C863" s="15" t="n">
        <v>7258</v>
      </c>
      <c r="D863" s="16" t="n">
        <v>56684375</v>
      </c>
    </row>
    <row r="864" customFormat="false" ht="15" hidden="false" customHeight="false" outlineLevel="0" collapsed="false">
      <c r="A864" s="13" t="n">
        <v>45805</v>
      </c>
      <c r="B864" s="14" t="s">
        <v>61</v>
      </c>
      <c r="C864" s="15" t="n">
        <v>7188.83</v>
      </c>
      <c r="D864" s="16" t="n">
        <v>15578363</v>
      </c>
    </row>
    <row r="865" customFormat="false" ht="15" hidden="false" customHeight="false" outlineLevel="0" collapsed="false">
      <c r="A865" s="13" t="n">
        <v>45806</v>
      </c>
      <c r="B865" s="14" t="s">
        <v>61</v>
      </c>
      <c r="C865" s="15" t="n">
        <v>7230.46</v>
      </c>
      <c r="D865" s="16" t="n">
        <v>27659117</v>
      </c>
    </row>
    <row r="866" customFormat="false" ht="15" hidden="false" customHeight="false" outlineLevel="0" collapsed="false">
      <c r="A866" s="13" t="n">
        <v>45807</v>
      </c>
      <c r="B866" s="14" t="s">
        <v>61</v>
      </c>
      <c r="C866" s="15" t="n">
        <v>7366.76</v>
      </c>
      <c r="D866" s="16" t="n">
        <v>45494354</v>
      </c>
    </row>
    <row r="867" customFormat="false" ht="15" hidden="false" customHeight="false" outlineLevel="0" collapsed="false">
      <c r="A867" s="13" t="n">
        <v>45810</v>
      </c>
      <c r="B867" s="14" t="s">
        <v>61</v>
      </c>
      <c r="C867" s="15" t="n">
        <v>7385.02</v>
      </c>
      <c r="D867" s="16" t="n">
        <v>41670787</v>
      </c>
    </row>
    <row r="868" customFormat="false" ht="15" hidden="false" customHeight="false" outlineLevel="0" collapsed="false">
      <c r="A868" s="13" t="n">
        <v>45811</v>
      </c>
      <c r="B868" s="14" t="s">
        <v>61</v>
      </c>
      <c r="C868" s="15" t="n">
        <v>7398.72</v>
      </c>
      <c r="D868" s="16" t="n">
        <v>25003801</v>
      </c>
    </row>
    <row r="869" customFormat="false" ht="15" hidden="false" customHeight="false" outlineLevel="0" collapsed="false">
      <c r="A869" s="13" t="n">
        <v>45812</v>
      </c>
      <c r="B869" s="14" t="s">
        <v>61</v>
      </c>
      <c r="C869" s="15" t="n">
        <v>7330.59</v>
      </c>
      <c r="D869" s="16" t="n">
        <v>40093349</v>
      </c>
    </row>
    <row r="870" customFormat="false" ht="15" hidden="false" customHeight="false" outlineLevel="0" collapsed="false">
      <c r="A870" s="13" t="n">
        <v>45813</v>
      </c>
      <c r="B870" s="14" t="s">
        <v>61</v>
      </c>
      <c r="C870" s="15" t="n">
        <v>7435.59</v>
      </c>
      <c r="D870" s="16" t="n">
        <v>2124905</v>
      </c>
    </row>
    <row r="871" customFormat="false" ht="15" hidden="false" customHeight="false" outlineLevel="0" collapsed="false">
      <c r="A871" s="13" t="n">
        <v>45814</v>
      </c>
      <c r="B871" s="14" t="s">
        <v>61</v>
      </c>
      <c r="C871" s="15" t="n">
        <v>7431.73</v>
      </c>
      <c r="D871" s="16" t="n">
        <v>37660390</v>
      </c>
    </row>
    <row r="872" customFormat="false" ht="15" hidden="false" customHeight="false" outlineLevel="0" collapsed="false">
      <c r="A872" s="13" t="n">
        <v>45817</v>
      </c>
      <c r="B872" s="14" t="s">
        <v>61</v>
      </c>
      <c r="C872" s="15" t="n">
        <v>7390.13</v>
      </c>
      <c r="D872" s="16" t="n">
        <v>31055020</v>
      </c>
    </row>
    <row r="873" customFormat="false" ht="15" hidden="false" customHeight="false" outlineLevel="0" collapsed="false">
      <c r="A873" s="13" t="n">
        <v>45818</v>
      </c>
      <c r="B873" s="14" t="s">
        <v>61</v>
      </c>
      <c r="C873" s="15" t="n">
        <v>7396.63</v>
      </c>
      <c r="D873" s="16" t="n">
        <v>6559277</v>
      </c>
    </row>
    <row r="874" customFormat="false" ht="15" hidden="false" customHeight="false" outlineLevel="0" collapsed="false">
      <c r="A874" s="13" t="n">
        <v>45819</v>
      </c>
      <c r="B874" s="14" t="s">
        <v>61</v>
      </c>
      <c r="C874" s="15" t="n">
        <v>7433.58</v>
      </c>
      <c r="D874" s="16" t="n">
        <v>33355047</v>
      </c>
    </row>
    <row r="875" customFormat="false" ht="15" hidden="false" customHeight="false" outlineLevel="0" collapsed="false">
      <c r="A875" s="13" t="n">
        <v>45820</v>
      </c>
      <c r="B875" s="14" t="s">
        <v>61</v>
      </c>
      <c r="C875" s="15" t="n">
        <v>7445.78</v>
      </c>
      <c r="D875" s="16" t="n">
        <v>21035300</v>
      </c>
    </row>
    <row r="876" customFormat="false" ht="15" hidden="false" customHeight="false" outlineLevel="0" collapsed="false">
      <c r="A876" s="13" t="n">
        <v>45821</v>
      </c>
      <c r="B876" s="14" t="s">
        <v>61</v>
      </c>
      <c r="C876" s="15" t="n">
        <v>7538.07</v>
      </c>
      <c r="D876" s="16" t="n">
        <v>16315296</v>
      </c>
    </row>
    <row r="877" customFormat="false" ht="15" hidden="false" customHeight="false" outlineLevel="0" collapsed="false">
      <c r="A877" s="13" t="n">
        <v>45824</v>
      </c>
      <c r="B877" s="14" t="s">
        <v>61</v>
      </c>
      <c r="C877" s="15" t="n">
        <v>7569.04</v>
      </c>
      <c r="D877" s="16" t="n">
        <v>9593059</v>
      </c>
    </row>
    <row r="878" customFormat="false" ht="15" hidden="false" customHeight="false" outlineLevel="0" collapsed="false">
      <c r="A878" s="13" t="n">
        <v>45825</v>
      </c>
      <c r="B878" s="14" t="s">
        <v>61</v>
      </c>
      <c r="C878" s="15" t="n">
        <v>7549.18</v>
      </c>
      <c r="D878" s="16" t="n">
        <v>19757506</v>
      </c>
    </row>
    <row r="879" customFormat="false" ht="15" hidden="false" customHeight="false" outlineLevel="0" collapsed="false">
      <c r="A879" s="13" t="n">
        <v>45826</v>
      </c>
      <c r="B879" s="14" t="s">
        <v>61</v>
      </c>
      <c r="C879" s="15" t="n">
        <v>7581.5</v>
      </c>
      <c r="D879" s="16" t="n">
        <v>46367368</v>
      </c>
    </row>
    <row r="880" customFormat="false" ht="15" hidden="false" customHeight="false" outlineLevel="0" collapsed="false">
      <c r="A880" s="13" t="n">
        <v>45827</v>
      </c>
      <c r="B880" s="14" t="s">
        <v>61</v>
      </c>
      <c r="C880" s="15" t="n">
        <v>7621.48</v>
      </c>
      <c r="D880" s="16" t="n">
        <v>47692999</v>
      </c>
    </row>
    <row r="881" customFormat="false" ht="15" hidden="false" customHeight="false" outlineLevel="0" collapsed="false">
      <c r="A881" s="13" t="n">
        <v>45828</v>
      </c>
      <c r="B881" s="14" t="s">
        <v>61</v>
      </c>
      <c r="C881" s="15" t="n">
        <v>7523.71</v>
      </c>
      <c r="D881" s="16" t="n">
        <v>33560480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9" min="8" style="0" width="12"/>
  </cols>
  <sheetData>
    <row r="1" customFormat="false" ht="15" hidden="false" customHeight="false" outlineLevel="0" collapsed="false">
      <c r="A1" s="12" t="s">
        <v>58</v>
      </c>
      <c r="B1" s="12" t="s">
        <v>21</v>
      </c>
      <c r="C1" s="12" t="s">
        <v>59</v>
      </c>
      <c r="D1" s="12" t="s">
        <v>62</v>
      </c>
      <c r="E1" s="12" t="s">
        <v>63</v>
      </c>
      <c r="F1" s="12" t="s">
        <v>64</v>
      </c>
      <c r="G1" s="12" t="s">
        <v>65</v>
      </c>
      <c r="H1" s="12" t="s">
        <v>66</v>
      </c>
      <c r="I1" s="12" t="s">
        <v>67</v>
      </c>
    </row>
    <row r="2" customFormat="false" ht="15" hidden="false" customHeight="false" outlineLevel="0" collapsed="false">
      <c r="A2" s="17" t="n">
        <f aca="false">Cours_Bruts!A2</f>
        <v>45719</v>
      </c>
      <c r="B2" s="18" t="str">
        <f aca="false">Cours_Bruts!B2</f>
        <v>AAPL</v>
      </c>
      <c r="C2" s="19" t="n">
        <f aca="false">Cours_Bruts!C2</f>
        <v>180</v>
      </c>
      <c r="D2" s="20" t="str">
        <f aca="false">IF(B2=B1,(C2-C1)/C1,"")</f>
        <v/>
      </c>
      <c r="E2" s="20" t="n">
        <f aca="false">IF(B2=B1,(1+E1)*(1+IF(D2="",0,D2))-1,0)</f>
        <v>0</v>
      </c>
      <c r="F2" s="21" t="n">
        <f aca="false">IF(B2=B1,MAX(F1,C2),C2)</f>
        <v>180</v>
      </c>
      <c r="G2" s="20" t="n">
        <f aca="false">(C2-F2)/F2</f>
        <v>0</v>
      </c>
      <c r="H2" s="21" t="str">
        <f aca="true">IF(COUNTIFS($B$2:B2,B2)&gt;=20,AVERAGE(OFFSET(C2,-19,0,20,1)),"")</f>
        <v/>
      </c>
      <c r="I2" s="21" t="str">
        <f aca="true">IF(COUNTIFS($B$2:B2,B2)&gt;=50,AVERAGE(OFFSET(C2,-49,0,50,1)),"")</f>
        <v/>
      </c>
    </row>
    <row r="3" customFormat="false" ht="15" hidden="false" customHeight="false" outlineLevel="0" collapsed="false">
      <c r="A3" s="17" t="n">
        <f aca="false">Cours_Bruts!A3</f>
        <v>45720</v>
      </c>
      <c r="B3" s="18" t="str">
        <f aca="false">Cours_Bruts!B3</f>
        <v>AAPL</v>
      </c>
      <c r="C3" s="19" t="n">
        <f aca="false">Cours_Bruts!C3</f>
        <v>179.66</v>
      </c>
      <c r="D3" s="20" t="n">
        <f aca="false">IF(B3=B2,(C3-C2)/C2,"")</f>
        <v>-0.00188888888888891</v>
      </c>
      <c r="E3" s="20" t="n">
        <f aca="false">IF(B3=B2,(1+E2)*(1+IF(D3="",0,D3))-1,0)</f>
        <v>-0.00188888888888894</v>
      </c>
      <c r="F3" s="21" t="n">
        <f aca="false">IF(B3=B2,MAX(F2,C3),C3)</f>
        <v>180</v>
      </c>
      <c r="G3" s="20" t="n">
        <f aca="false">(C3-F3)/F3</f>
        <v>-0.00188888888888891</v>
      </c>
      <c r="H3" s="21" t="str">
        <f aca="true">IF(COUNTIFS($B$2:B3,B3)&gt;=20,AVERAGE(OFFSET(C3,-19,0,20,1)),"")</f>
        <v/>
      </c>
      <c r="I3" s="21" t="str">
        <f aca="true">IF(COUNTIFS($B$2:B3,B3)&gt;=50,AVERAGE(OFFSET(C3,-49,0,50,1)),"")</f>
        <v/>
      </c>
    </row>
    <row r="4" customFormat="false" ht="15" hidden="false" customHeight="false" outlineLevel="0" collapsed="false">
      <c r="A4" s="17" t="n">
        <f aca="false">Cours_Bruts!A4</f>
        <v>45721</v>
      </c>
      <c r="B4" s="18" t="str">
        <f aca="false">Cours_Bruts!B4</f>
        <v>AAPL</v>
      </c>
      <c r="C4" s="19" t="n">
        <f aca="false">Cours_Bruts!C4</f>
        <v>181.81</v>
      </c>
      <c r="D4" s="20" t="n">
        <f aca="false">IF(B4=B3,(C4-C3)/C3,"")</f>
        <v>0.011967048870088</v>
      </c>
      <c r="E4" s="20" t="n">
        <f aca="false">IF(B4=B3,(1+E3)*(1+IF(D4="",0,D4))-1,0)</f>
        <v>0.0100555555555557</v>
      </c>
      <c r="F4" s="21" t="n">
        <f aca="false">IF(B4=B3,MAX(F3,C4),C4)</f>
        <v>181.81</v>
      </c>
      <c r="G4" s="20" t="n">
        <f aca="false">(C4-F4)/F4</f>
        <v>0</v>
      </c>
      <c r="H4" s="21" t="str">
        <f aca="true">IF(COUNTIFS($B$2:B4,B4)&gt;=20,AVERAGE(OFFSET(C4,-19,0,20,1)),"")</f>
        <v/>
      </c>
      <c r="I4" s="21" t="str">
        <f aca="true">IF(COUNTIFS($B$2:B4,B4)&gt;=50,AVERAGE(OFFSET(C4,-49,0,50,1)),"")</f>
        <v/>
      </c>
    </row>
    <row r="5" customFormat="false" ht="15" hidden="false" customHeight="false" outlineLevel="0" collapsed="false">
      <c r="A5" s="17" t="n">
        <f aca="false">Cours_Bruts!A5</f>
        <v>45722</v>
      </c>
      <c r="B5" s="18" t="str">
        <f aca="false">Cours_Bruts!B5</f>
        <v>AAPL</v>
      </c>
      <c r="C5" s="19" t="n">
        <f aca="false">Cours_Bruts!C5</f>
        <v>186.8</v>
      </c>
      <c r="D5" s="20" t="n">
        <f aca="false">IF(B5=B4,(C5-C4)/C4,"")</f>
        <v>0.0274462350805787</v>
      </c>
      <c r="E5" s="20" t="n">
        <f aca="false">IF(B5=B4,(1+E4)*(1+IF(D5="",0,D5))-1,0)</f>
        <v>0.0377777777777779</v>
      </c>
      <c r="F5" s="21" t="n">
        <f aca="false">IF(B5=B4,MAX(F4,C5),C5)</f>
        <v>186.8</v>
      </c>
      <c r="G5" s="20" t="n">
        <f aca="false">(C5-F5)/F5</f>
        <v>0</v>
      </c>
      <c r="H5" s="21" t="str">
        <f aca="true">IF(COUNTIFS($B$2:B5,B5)&gt;=20,AVERAGE(OFFSET(C5,-19,0,20,1)),"")</f>
        <v/>
      </c>
      <c r="I5" s="21" t="str">
        <f aca="true">IF(COUNTIFS($B$2:B5,B5)&gt;=50,AVERAGE(OFFSET(C5,-49,0,50,1)),"")</f>
        <v/>
      </c>
    </row>
    <row r="6" customFormat="false" ht="15" hidden="false" customHeight="false" outlineLevel="0" collapsed="false">
      <c r="A6" s="17" t="n">
        <f aca="false">Cours_Bruts!A6</f>
        <v>45723</v>
      </c>
      <c r="B6" s="18" t="str">
        <f aca="false">Cours_Bruts!B6</f>
        <v>AAPL</v>
      </c>
      <c r="C6" s="19" t="n">
        <f aca="false">Cours_Bruts!C6</f>
        <v>186.13</v>
      </c>
      <c r="D6" s="20" t="n">
        <f aca="false">IF(B6=B5,(C6-C5)/C5,"")</f>
        <v>-0.0035867237687367</v>
      </c>
      <c r="E6" s="20" t="n">
        <f aca="false">IF(B6=B5,(1+E5)*(1+IF(D6="",0,D6))-1,0)</f>
        <v>0.0340555555555555</v>
      </c>
      <c r="F6" s="21" t="n">
        <f aca="false">IF(B6=B5,MAX(F5,C6),C6)</f>
        <v>186.8</v>
      </c>
      <c r="G6" s="20" t="n">
        <f aca="false">(C6-F6)/F6</f>
        <v>-0.0035867237687367</v>
      </c>
      <c r="H6" s="21" t="str">
        <f aca="true">IF(COUNTIFS($B$2:B6,B6)&gt;=20,AVERAGE(OFFSET(C6,-19,0,20,1)),"")</f>
        <v/>
      </c>
      <c r="I6" s="21" t="str">
        <f aca="true">IF(COUNTIFS($B$2:B6,B6)&gt;=50,AVERAGE(OFFSET(C6,-49,0,50,1)),"")</f>
        <v/>
      </c>
    </row>
    <row r="7" customFormat="false" ht="15" hidden="false" customHeight="false" outlineLevel="0" collapsed="false">
      <c r="A7" s="17" t="n">
        <f aca="false">Cours_Bruts!A7</f>
        <v>45726</v>
      </c>
      <c r="B7" s="18" t="str">
        <f aca="false">Cours_Bruts!B7</f>
        <v>AAPL</v>
      </c>
      <c r="C7" s="19" t="n">
        <f aca="false">Cours_Bruts!C7</f>
        <v>185.47</v>
      </c>
      <c r="D7" s="20" t="n">
        <f aca="false">IF(B7=B6,(C7-C6)/C6,"")</f>
        <v>-0.0035459087734379</v>
      </c>
      <c r="E7" s="20" t="n">
        <f aca="false">IF(B7=B6,(1+E6)*(1+IF(D7="",0,D7))-1,0)</f>
        <v>0.0303888888888888</v>
      </c>
      <c r="F7" s="21" t="n">
        <f aca="false">IF(B7=B6,MAX(F6,C7),C7)</f>
        <v>186.8</v>
      </c>
      <c r="G7" s="20" t="n">
        <f aca="false">(C7-F7)/F7</f>
        <v>-0.00711991434689514</v>
      </c>
      <c r="H7" s="21" t="str">
        <f aca="true">IF(COUNTIFS($B$2:B7,B7)&gt;=20,AVERAGE(OFFSET(C7,-19,0,20,1)),"")</f>
        <v/>
      </c>
      <c r="I7" s="21" t="str">
        <f aca="true">IF(COUNTIFS($B$2:B7,B7)&gt;=50,AVERAGE(OFFSET(C7,-49,0,50,1)),"")</f>
        <v/>
      </c>
    </row>
    <row r="8" customFormat="false" ht="15" hidden="false" customHeight="false" outlineLevel="0" collapsed="false">
      <c r="A8" s="17" t="n">
        <f aca="false">Cours_Bruts!A8</f>
        <v>45727</v>
      </c>
      <c r="B8" s="18" t="str">
        <f aca="false">Cours_Bruts!B8</f>
        <v>AAPL</v>
      </c>
      <c r="C8" s="19" t="n">
        <f aca="false">Cours_Bruts!C8</f>
        <v>190.73</v>
      </c>
      <c r="D8" s="20" t="n">
        <f aca="false">IF(B8=B7,(C8-C7)/C7,"")</f>
        <v>0.0283603817328948</v>
      </c>
      <c r="E8" s="20" t="n">
        <f aca="false">IF(B8=B7,(1+E7)*(1+IF(D8="",0,D8))-1,0)</f>
        <v>0.0596111111111111</v>
      </c>
      <c r="F8" s="21" t="n">
        <f aca="false">IF(B8=B7,MAX(F7,C8),C8)</f>
        <v>190.73</v>
      </c>
      <c r="G8" s="20" t="n">
        <f aca="false">(C8-F8)/F8</f>
        <v>0</v>
      </c>
      <c r="H8" s="21" t="str">
        <f aca="true">IF(COUNTIFS($B$2:B8,B8)&gt;=20,AVERAGE(OFFSET(C8,-19,0,20,1)),"")</f>
        <v/>
      </c>
      <c r="I8" s="21" t="str">
        <f aca="true">IF(COUNTIFS($B$2:B8,B8)&gt;=50,AVERAGE(OFFSET(C8,-49,0,50,1)),"")</f>
        <v/>
      </c>
    </row>
    <row r="9" customFormat="false" ht="15" hidden="false" customHeight="false" outlineLevel="0" collapsed="false">
      <c r="A9" s="17" t="n">
        <f aca="false">Cours_Bruts!A9</f>
        <v>45728</v>
      </c>
      <c r="B9" s="18" t="str">
        <f aca="false">Cours_Bruts!B9</f>
        <v>AAPL</v>
      </c>
      <c r="C9" s="19" t="n">
        <f aca="false">Cours_Bruts!C9</f>
        <v>193.42</v>
      </c>
      <c r="D9" s="20" t="n">
        <f aca="false">IF(B9=B8,(C9-C8)/C8,"")</f>
        <v>0.0141037068106748</v>
      </c>
      <c r="E9" s="20" t="n">
        <f aca="false">IF(B9=B8,(1+E8)*(1+IF(D9="",0,D9))-1,0)</f>
        <v>0.0745555555555555</v>
      </c>
      <c r="F9" s="21" t="n">
        <f aca="false">IF(B9=B8,MAX(F8,C9),C9)</f>
        <v>193.42</v>
      </c>
      <c r="G9" s="20" t="n">
        <f aca="false">(C9-F9)/F9</f>
        <v>0</v>
      </c>
      <c r="H9" s="21" t="str">
        <f aca="true">IF(COUNTIFS($B$2:B9,B9)&gt;=20,AVERAGE(OFFSET(C9,-19,0,20,1)),"")</f>
        <v/>
      </c>
      <c r="I9" s="21" t="str">
        <f aca="true">IF(COUNTIFS($B$2:B9,B9)&gt;=50,AVERAGE(OFFSET(C9,-49,0,50,1)),"")</f>
        <v/>
      </c>
    </row>
    <row r="10" customFormat="false" ht="15" hidden="false" customHeight="false" outlineLevel="0" collapsed="false">
      <c r="A10" s="17" t="n">
        <f aca="false">Cours_Bruts!A10</f>
        <v>45729</v>
      </c>
      <c r="B10" s="18" t="str">
        <f aca="false">Cours_Bruts!B10</f>
        <v>AAPL</v>
      </c>
      <c r="C10" s="19" t="n">
        <f aca="false">Cours_Bruts!C10</f>
        <v>191.93</v>
      </c>
      <c r="D10" s="20" t="n">
        <f aca="false">IF(B10=B9,(C10-C9)/C9,"")</f>
        <v>-0.00770344328404498</v>
      </c>
      <c r="E10" s="20" t="n">
        <f aca="false">IF(B10=B9,(1+E9)*(1+IF(D10="",0,D10))-1,0)</f>
        <v>0.0662777777777779</v>
      </c>
      <c r="F10" s="21" t="n">
        <f aca="false">IF(B10=B9,MAX(F9,C10),C10)</f>
        <v>193.42</v>
      </c>
      <c r="G10" s="20" t="n">
        <f aca="false">(C10-F10)/F10</f>
        <v>-0.00770344328404498</v>
      </c>
      <c r="H10" s="21" t="str">
        <f aca="true">IF(COUNTIFS($B$2:B10,B10)&gt;=20,AVERAGE(OFFSET(C10,-19,0,20,1)),"")</f>
        <v/>
      </c>
      <c r="I10" s="21" t="str">
        <f aca="true">IF(COUNTIFS($B$2:B10,B10)&gt;=50,AVERAGE(OFFSET(C10,-49,0,50,1)),"")</f>
        <v/>
      </c>
    </row>
    <row r="11" customFormat="false" ht="15" hidden="false" customHeight="false" outlineLevel="0" collapsed="false">
      <c r="A11" s="17" t="n">
        <f aca="false">Cours_Bruts!A11</f>
        <v>45730</v>
      </c>
      <c r="B11" s="18" t="str">
        <f aca="false">Cours_Bruts!B11</f>
        <v>AAPL</v>
      </c>
      <c r="C11" s="19" t="n">
        <f aca="false">Cours_Bruts!C11</f>
        <v>193.87</v>
      </c>
      <c r="D11" s="20" t="n">
        <f aca="false">IF(B11=B10,(C11-C10)/C10,"")</f>
        <v>0.0101078518209764</v>
      </c>
      <c r="E11" s="20" t="n">
        <f aca="false">IF(B11=B10,(1+E10)*(1+IF(D11="",0,D11))-1,0)</f>
        <v>0.0770555555555554</v>
      </c>
      <c r="F11" s="21" t="n">
        <f aca="false">IF(B11=B10,MAX(F10,C11),C11)</f>
        <v>193.87</v>
      </c>
      <c r="G11" s="20" t="n">
        <f aca="false">(C11-F11)/F11</f>
        <v>0</v>
      </c>
      <c r="H11" s="21" t="str">
        <f aca="true">IF(COUNTIFS($B$2:B11,B11)&gt;=20,AVERAGE(OFFSET(C11,-19,0,20,1)),"")</f>
        <v/>
      </c>
      <c r="I11" s="21" t="str">
        <f aca="true">IF(COUNTIFS($B$2:B11,B11)&gt;=50,AVERAGE(OFFSET(C11,-49,0,50,1)),"")</f>
        <v/>
      </c>
    </row>
    <row r="12" customFormat="false" ht="15" hidden="false" customHeight="false" outlineLevel="0" collapsed="false">
      <c r="A12" s="17" t="n">
        <f aca="false">Cours_Bruts!A12</f>
        <v>45733</v>
      </c>
      <c r="B12" s="18" t="str">
        <f aca="false">Cours_Bruts!B12</f>
        <v>AAPL</v>
      </c>
      <c r="C12" s="19" t="n">
        <f aca="false">Cours_Bruts!C12</f>
        <v>192.39</v>
      </c>
      <c r="D12" s="20" t="n">
        <f aca="false">IF(B12=B11,(C12-C11)/C11,"")</f>
        <v>-0.00763398153401773</v>
      </c>
      <c r="E12" s="20" t="n">
        <f aca="false">IF(B12=B11,(1+E11)*(1+IF(D12="",0,D12))-1,0)</f>
        <v>0.0688333333333331</v>
      </c>
      <c r="F12" s="21" t="n">
        <f aca="false">IF(B12=B11,MAX(F11,C12),C12)</f>
        <v>193.87</v>
      </c>
      <c r="G12" s="20" t="n">
        <f aca="false">(C12-F12)/F12</f>
        <v>-0.00763398153401773</v>
      </c>
      <c r="H12" s="21" t="str">
        <f aca="true">IF(COUNTIFS($B$2:B12,B12)&gt;=20,AVERAGE(OFFSET(C12,-19,0,20,1)),"")</f>
        <v/>
      </c>
      <c r="I12" s="21" t="str">
        <f aca="true">IF(COUNTIFS($B$2:B12,B12)&gt;=50,AVERAGE(OFFSET(C12,-49,0,50,1)),"")</f>
        <v/>
      </c>
    </row>
    <row r="13" customFormat="false" ht="15" hidden="false" customHeight="false" outlineLevel="0" collapsed="false">
      <c r="A13" s="17" t="n">
        <f aca="false">Cours_Bruts!A13</f>
        <v>45734</v>
      </c>
      <c r="B13" s="18" t="str">
        <f aca="false">Cours_Bruts!B13</f>
        <v>AAPL</v>
      </c>
      <c r="C13" s="19" t="n">
        <f aca="false">Cours_Bruts!C13</f>
        <v>190.92</v>
      </c>
      <c r="D13" s="20" t="n">
        <f aca="false">IF(B13=B12,(C13-C12)/C12,"")</f>
        <v>-0.00764072976765944</v>
      </c>
      <c r="E13" s="20" t="n">
        <f aca="false">IF(B13=B12,(1+E12)*(1+IF(D13="",0,D13))-1,0)</f>
        <v>0.0606666666666664</v>
      </c>
      <c r="F13" s="21" t="n">
        <f aca="false">IF(B13=B12,MAX(F12,C13),C13)</f>
        <v>193.87</v>
      </c>
      <c r="G13" s="20" t="n">
        <f aca="false">(C13-F13)/F13</f>
        <v>-0.0152163821117244</v>
      </c>
      <c r="H13" s="21" t="str">
        <f aca="true">IF(COUNTIFS($B$2:B13,B13)&gt;=20,AVERAGE(OFFSET(C13,-19,0,20,1)),"")</f>
        <v/>
      </c>
      <c r="I13" s="21" t="str">
        <f aca="true">IF(COUNTIFS($B$2:B13,B13)&gt;=50,AVERAGE(OFFSET(C13,-49,0,50,1)),"")</f>
        <v/>
      </c>
    </row>
    <row r="14" customFormat="false" ht="15" hidden="false" customHeight="false" outlineLevel="0" collapsed="false">
      <c r="A14" s="17" t="n">
        <f aca="false">Cours_Bruts!A14</f>
        <v>45735</v>
      </c>
      <c r="B14" s="18" t="str">
        <f aca="false">Cours_Bruts!B14</f>
        <v>AAPL</v>
      </c>
      <c r="C14" s="19" t="n">
        <f aca="false">Cours_Bruts!C14</f>
        <v>191.84</v>
      </c>
      <c r="D14" s="20" t="n">
        <f aca="false">IF(B14=B13,(C14-C13)/C13,"")</f>
        <v>0.00481877226063281</v>
      </c>
      <c r="E14" s="20" t="n">
        <f aca="false">IF(B14=B13,(1+E13)*(1+IF(D14="",0,D14))-1,0)</f>
        <v>0.0657777777777775</v>
      </c>
      <c r="F14" s="21" t="n">
        <f aca="false">IF(B14=B13,MAX(F13,C14),C14)</f>
        <v>193.87</v>
      </c>
      <c r="G14" s="20" t="n">
        <f aca="false">(C14-F14)/F14</f>
        <v>-0.0104709341311188</v>
      </c>
      <c r="H14" s="21" t="str">
        <f aca="true">IF(COUNTIFS($B$2:B14,B14)&gt;=20,AVERAGE(OFFSET(C14,-19,0,20,1)),"")</f>
        <v/>
      </c>
      <c r="I14" s="21" t="str">
        <f aca="true">IF(COUNTIFS($B$2:B14,B14)&gt;=50,AVERAGE(OFFSET(C14,-49,0,50,1)),"")</f>
        <v/>
      </c>
    </row>
    <row r="15" customFormat="false" ht="15" hidden="false" customHeight="false" outlineLevel="0" collapsed="false">
      <c r="A15" s="17" t="n">
        <f aca="false">Cours_Bruts!A15</f>
        <v>45736</v>
      </c>
      <c r="B15" s="18" t="str">
        <f aca="false">Cours_Bruts!B15</f>
        <v>AAPL</v>
      </c>
      <c r="C15" s="19" t="n">
        <f aca="false">Cours_Bruts!C15</f>
        <v>185.47</v>
      </c>
      <c r="D15" s="20" t="n">
        <f aca="false">IF(B15=B14,(C15-C14)/C14,"")</f>
        <v>-0.0332047539616347</v>
      </c>
      <c r="E15" s="20" t="n">
        <f aca="false">IF(B15=B14,(1+E14)*(1+IF(D15="",0,D15))-1,0)</f>
        <v>0.0303888888888886</v>
      </c>
      <c r="F15" s="21" t="n">
        <f aca="false">IF(B15=B14,MAX(F14,C15),C15)</f>
        <v>193.87</v>
      </c>
      <c r="G15" s="20" t="n">
        <f aca="false">(C15-F15)/F15</f>
        <v>-0.0433280033011812</v>
      </c>
      <c r="H15" s="21" t="str">
        <f aca="true">IF(COUNTIFS($B$2:B15,B15)&gt;=20,AVERAGE(OFFSET(C15,-19,0,20,1)),"")</f>
        <v/>
      </c>
      <c r="I15" s="21" t="str">
        <f aca="true">IF(COUNTIFS($B$2:B15,B15)&gt;=50,AVERAGE(OFFSET(C15,-49,0,50,1)),"")</f>
        <v/>
      </c>
    </row>
    <row r="16" customFormat="false" ht="15" hidden="false" customHeight="false" outlineLevel="0" collapsed="false">
      <c r="A16" s="17" t="n">
        <f aca="false">Cours_Bruts!A16</f>
        <v>45737</v>
      </c>
      <c r="B16" s="18" t="str">
        <f aca="false">Cours_Bruts!B16</f>
        <v>AAPL</v>
      </c>
      <c r="C16" s="19" t="n">
        <f aca="false">Cours_Bruts!C16</f>
        <v>179.93</v>
      </c>
      <c r="D16" s="20" t="n">
        <f aca="false">IF(B16=B15,(C16-C15)/C15,"")</f>
        <v>-0.0298700598479538</v>
      </c>
      <c r="E16" s="20" t="n">
        <f aca="false">IF(B16=B15,(1+E15)*(1+IF(D16="",0,D16))-1,0)</f>
        <v>-0.000388888888889105</v>
      </c>
      <c r="F16" s="21" t="n">
        <f aca="false">IF(B16=B15,MAX(F15,C16),C16)</f>
        <v>193.87</v>
      </c>
      <c r="G16" s="20" t="n">
        <f aca="false">(C16-F16)/F16</f>
        <v>-0.0719038530974364</v>
      </c>
      <c r="H16" s="21" t="str">
        <f aca="true">IF(COUNTIFS($B$2:B16,B16)&gt;=20,AVERAGE(OFFSET(C16,-19,0,20,1)),"")</f>
        <v/>
      </c>
      <c r="I16" s="21" t="str">
        <f aca="true">IF(COUNTIFS($B$2:B16,B16)&gt;=50,AVERAGE(OFFSET(C16,-49,0,50,1)),"")</f>
        <v/>
      </c>
    </row>
    <row r="17" customFormat="false" ht="15" hidden="false" customHeight="false" outlineLevel="0" collapsed="false">
      <c r="A17" s="17" t="n">
        <f aca="false">Cours_Bruts!A17</f>
        <v>45740</v>
      </c>
      <c r="B17" s="18" t="str">
        <f aca="false">Cours_Bruts!B17</f>
        <v>AAPL</v>
      </c>
      <c r="C17" s="19" t="n">
        <f aca="false">Cours_Bruts!C17</f>
        <v>178.25</v>
      </c>
      <c r="D17" s="20" t="n">
        <f aca="false">IF(B17=B16,(C17-C16)/C16,"")</f>
        <v>-0.00933696437503477</v>
      </c>
      <c r="E17" s="20" t="n">
        <f aca="false">IF(B17=B16,(1+E16)*(1+IF(D17="",0,D17))-1,0)</f>
        <v>-0.00972222222222241</v>
      </c>
      <c r="F17" s="21" t="n">
        <f aca="false">IF(B17=B16,MAX(F16,C17),C17)</f>
        <v>193.87</v>
      </c>
      <c r="G17" s="20" t="n">
        <f aca="false">(C17-F17)/F17</f>
        <v>-0.0805694537576727</v>
      </c>
      <c r="H17" s="21" t="str">
        <f aca="true">IF(COUNTIFS($B$2:B17,B17)&gt;=20,AVERAGE(OFFSET(C17,-19,0,20,1)),"")</f>
        <v/>
      </c>
      <c r="I17" s="21" t="str">
        <f aca="true">IF(COUNTIFS($B$2:B17,B17)&gt;=50,AVERAGE(OFFSET(C17,-49,0,50,1)),"")</f>
        <v/>
      </c>
    </row>
    <row r="18" customFormat="false" ht="15" hidden="false" customHeight="false" outlineLevel="0" collapsed="false">
      <c r="A18" s="17" t="n">
        <f aca="false">Cours_Bruts!A18</f>
        <v>45741</v>
      </c>
      <c r="B18" s="18" t="str">
        <f aca="false">Cours_Bruts!B18</f>
        <v>AAPL</v>
      </c>
      <c r="C18" s="19" t="n">
        <f aca="false">Cours_Bruts!C18</f>
        <v>175.16</v>
      </c>
      <c r="D18" s="20" t="n">
        <f aca="false">IF(B18=B17,(C18-C17)/C17,"")</f>
        <v>-0.0173352033660589</v>
      </c>
      <c r="E18" s="20" t="n">
        <f aca="false">IF(B18=B17,(1+E17)*(1+IF(D18="",0,D18))-1,0)</f>
        <v>-0.0268888888888892</v>
      </c>
      <c r="F18" s="21" t="n">
        <f aca="false">IF(B18=B17,MAX(F17,C18),C18)</f>
        <v>193.87</v>
      </c>
      <c r="G18" s="20" t="n">
        <f aca="false">(C18-F18)/F18</f>
        <v>-0.0965079692577501</v>
      </c>
      <c r="H18" s="21" t="str">
        <f aca="true">IF(COUNTIFS($B$2:B18,B18)&gt;=20,AVERAGE(OFFSET(C18,-19,0,20,1)),"")</f>
        <v/>
      </c>
      <c r="I18" s="21" t="str">
        <f aca="true">IF(COUNTIFS($B$2:B18,B18)&gt;=50,AVERAGE(OFFSET(C18,-49,0,50,1)),"")</f>
        <v/>
      </c>
    </row>
    <row r="19" customFormat="false" ht="15" hidden="false" customHeight="false" outlineLevel="0" collapsed="false">
      <c r="A19" s="17" t="n">
        <f aca="false">Cours_Bruts!A19</f>
        <v>45742</v>
      </c>
      <c r="B19" s="18" t="str">
        <f aca="false">Cours_Bruts!B19</f>
        <v>AAPL</v>
      </c>
      <c r="C19" s="19" t="n">
        <f aca="false">Cours_Bruts!C19</f>
        <v>176.23</v>
      </c>
      <c r="D19" s="20" t="n">
        <f aca="false">IF(B19=B18,(C19-C18)/C18,"")</f>
        <v>0.00610870061657909</v>
      </c>
      <c r="E19" s="20" t="n">
        <f aca="false">IF(B19=B18,(1+E18)*(1+IF(D19="",0,D19))-1,0)</f>
        <v>-0.0209444444444447</v>
      </c>
      <c r="F19" s="21" t="n">
        <f aca="false">IF(B19=B18,MAX(F18,C19),C19)</f>
        <v>193.87</v>
      </c>
      <c r="G19" s="20" t="n">
        <f aca="false">(C19-F19)/F19</f>
        <v>-0.0909888069324806</v>
      </c>
      <c r="H19" s="21" t="str">
        <f aca="true">IF(COUNTIFS($B$2:B19,B19)&gt;=20,AVERAGE(OFFSET(C19,-19,0,20,1)),"")</f>
        <v/>
      </c>
      <c r="I19" s="21" t="str">
        <f aca="true">IF(COUNTIFS($B$2:B19,B19)&gt;=50,AVERAGE(OFFSET(C19,-49,0,50,1)),"")</f>
        <v/>
      </c>
    </row>
    <row r="20" customFormat="false" ht="15" hidden="false" customHeight="false" outlineLevel="0" collapsed="false">
      <c r="A20" s="17" t="n">
        <f aca="false">Cours_Bruts!A20</f>
        <v>45743</v>
      </c>
      <c r="B20" s="18" t="str">
        <f aca="false">Cours_Bruts!B20</f>
        <v>AAPL</v>
      </c>
      <c r="C20" s="19" t="n">
        <f aca="false">Cours_Bruts!C20</f>
        <v>173.51</v>
      </c>
      <c r="D20" s="20" t="n">
        <f aca="false">IF(B20=B19,(C20-C19)/C19,"")</f>
        <v>-0.0154343755319753</v>
      </c>
      <c r="E20" s="20" t="n">
        <f aca="false">IF(B20=B19,(1+E19)*(1+IF(D20="",0,D20))-1,0)</f>
        <v>-0.0360555555555557</v>
      </c>
      <c r="F20" s="21" t="n">
        <f aca="false">IF(B20=B19,MAX(F19,C20),C20)</f>
        <v>193.87</v>
      </c>
      <c r="G20" s="20" t="n">
        <f aca="false">(C20-F20)/F20</f>
        <v>-0.105018827049054</v>
      </c>
      <c r="H20" s="21" t="str">
        <f aca="true">IF(COUNTIFS($B$2:B20,B20)&gt;=20,AVERAGE(OFFSET(C20,-19,0,20,1)),"")</f>
        <v/>
      </c>
      <c r="I20" s="21" t="str">
        <f aca="true">IF(COUNTIFS($B$2:B20,B20)&gt;=50,AVERAGE(OFFSET(C20,-49,0,50,1)),"")</f>
        <v/>
      </c>
    </row>
    <row r="21" customFormat="false" ht="15" hidden="false" customHeight="false" outlineLevel="0" collapsed="false">
      <c r="A21" s="17" t="n">
        <f aca="false">Cours_Bruts!A21</f>
        <v>45744</v>
      </c>
      <c r="B21" s="18" t="str">
        <f aca="false">Cours_Bruts!B21</f>
        <v>AAPL</v>
      </c>
      <c r="C21" s="19" t="n">
        <f aca="false">Cours_Bruts!C21</f>
        <v>169.28</v>
      </c>
      <c r="D21" s="20" t="n">
        <f aca="false">IF(B21=B20,(C21-C20)/C20,"")</f>
        <v>-0.0243789983286265</v>
      </c>
      <c r="E21" s="20" t="n">
        <f aca="false">IF(B21=B20,(1+E20)*(1+IF(D21="",0,D21))-1,0)</f>
        <v>-0.0595555555555557</v>
      </c>
      <c r="F21" s="21" t="n">
        <f aca="false">IF(B21=B20,MAX(F20,C21),C21)</f>
        <v>193.87</v>
      </c>
      <c r="G21" s="20" t="n">
        <f aca="false">(C21-F21)/F21</f>
        <v>-0.126837571568577</v>
      </c>
      <c r="H21" s="21" t="n">
        <f aca="true">IF(COUNTIFS($B$2:B21,B21)&gt;=20,AVERAGE(OFFSET(C21,-19,0,20,1)),"")</f>
        <v>184.14</v>
      </c>
      <c r="I21" s="21" t="str">
        <f aca="true">IF(COUNTIFS($B$2:B21,B21)&gt;=50,AVERAGE(OFFSET(C21,-49,0,50,1)),"")</f>
        <v/>
      </c>
    </row>
    <row r="22" customFormat="false" ht="15" hidden="false" customHeight="false" outlineLevel="0" collapsed="false">
      <c r="A22" s="17" t="n">
        <f aca="false">Cours_Bruts!A22</f>
        <v>45747</v>
      </c>
      <c r="B22" s="18" t="str">
        <f aca="false">Cours_Bruts!B22</f>
        <v>AAPL</v>
      </c>
      <c r="C22" s="19" t="n">
        <f aca="false">Cours_Bruts!C22</f>
        <v>173.75</v>
      </c>
      <c r="D22" s="20" t="n">
        <f aca="false">IF(B22=B21,(C22-C21)/C21,"")</f>
        <v>0.02640595463138</v>
      </c>
      <c r="E22" s="20" t="n">
        <f aca="false">IF(B22=B21,(1+E21)*(1+IF(D22="",0,D22))-1,0)</f>
        <v>-0.0347222222222223</v>
      </c>
      <c r="F22" s="21" t="n">
        <f aca="false">IF(B22=B21,MAX(F21,C22),C22)</f>
        <v>193.87</v>
      </c>
      <c r="G22" s="20" t="n">
        <f aca="false">(C22-F22)/F22</f>
        <v>-0.103780884097591</v>
      </c>
      <c r="H22" s="21" t="n">
        <f aca="true">IF(COUNTIFS($B$2:B22,B22)&gt;=20,AVERAGE(OFFSET(C22,-19,0,20,1)),"")</f>
        <v>183.8275</v>
      </c>
      <c r="I22" s="21" t="str">
        <f aca="true">IF(COUNTIFS($B$2:B22,B22)&gt;=50,AVERAGE(OFFSET(C22,-49,0,50,1)),"")</f>
        <v/>
      </c>
    </row>
    <row r="23" customFormat="false" ht="15" hidden="false" customHeight="false" outlineLevel="0" collapsed="false">
      <c r="A23" s="17" t="n">
        <f aca="false">Cours_Bruts!A23</f>
        <v>45748</v>
      </c>
      <c r="B23" s="18" t="str">
        <f aca="false">Cours_Bruts!B23</f>
        <v>AAPL</v>
      </c>
      <c r="C23" s="19" t="n">
        <f aca="false">Cours_Bruts!C23</f>
        <v>173.16</v>
      </c>
      <c r="D23" s="20" t="n">
        <f aca="false">IF(B23=B22,(C23-C22)/C22,"")</f>
        <v>-0.00339568345323743</v>
      </c>
      <c r="E23" s="20" t="n">
        <f aca="false">IF(B23=B22,(1+E22)*(1+IF(D23="",0,D23))-1,0)</f>
        <v>-0.038</v>
      </c>
      <c r="F23" s="21" t="n">
        <f aca="false">IF(B23=B22,MAX(F22,C23),C23)</f>
        <v>193.87</v>
      </c>
      <c r="G23" s="20" t="n">
        <f aca="false">(C23-F23)/F23</f>
        <v>-0.106824160519936</v>
      </c>
      <c r="H23" s="21" t="n">
        <f aca="true">IF(COUNTIFS($B$2:B23,B23)&gt;=20,AVERAGE(OFFSET(C23,-19,0,20,1)),"")</f>
        <v>183.5025</v>
      </c>
      <c r="I23" s="21" t="str">
        <f aca="true">IF(COUNTIFS($B$2:B23,B23)&gt;=50,AVERAGE(OFFSET(C23,-49,0,50,1)),"")</f>
        <v/>
      </c>
    </row>
    <row r="24" customFormat="false" ht="15" hidden="false" customHeight="false" outlineLevel="0" collapsed="false">
      <c r="A24" s="17" t="n">
        <f aca="false">Cours_Bruts!A24</f>
        <v>45749</v>
      </c>
      <c r="B24" s="18" t="str">
        <f aca="false">Cours_Bruts!B24</f>
        <v>AAPL</v>
      </c>
      <c r="C24" s="19" t="n">
        <f aca="false">Cours_Bruts!C24</f>
        <v>173.46</v>
      </c>
      <c r="D24" s="20" t="n">
        <f aca="false">IF(B24=B23,(C24-C23)/C23,"")</f>
        <v>0.0017325017325018</v>
      </c>
      <c r="E24" s="20" t="n">
        <f aca="false">IF(B24=B23,(1+E23)*(1+IF(D24="",0,D24))-1,0)</f>
        <v>-0.0363333333333332</v>
      </c>
      <c r="F24" s="21" t="n">
        <f aca="false">IF(B24=B23,MAX(F23,C24),C24)</f>
        <v>193.87</v>
      </c>
      <c r="G24" s="20" t="n">
        <f aca="false">(C24-F24)/F24</f>
        <v>-0.105276731830608</v>
      </c>
      <c r="H24" s="21" t="n">
        <f aca="true">IF(COUNTIFS($B$2:B24,B24)&gt;=20,AVERAGE(OFFSET(C24,-19,0,20,1)),"")</f>
        <v>183.085</v>
      </c>
      <c r="I24" s="21" t="str">
        <f aca="true">IF(COUNTIFS($B$2:B24,B24)&gt;=50,AVERAGE(OFFSET(C24,-49,0,50,1)),"")</f>
        <v/>
      </c>
    </row>
    <row r="25" customFormat="false" ht="15" hidden="false" customHeight="false" outlineLevel="0" collapsed="false">
      <c r="A25" s="17" t="n">
        <f aca="false">Cours_Bruts!A25</f>
        <v>45750</v>
      </c>
      <c r="B25" s="18" t="str">
        <f aca="false">Cours_Bruts!B25</f>
        <v>AAPL</v>
      </c>
      <c r="C25" s="19" t="n">
        <f aca="false">Cours_Bruts!C25</f>
        <v>169.2</v>
      </c>
      <c r="D25" s="20" t="n">
        <f aca="false">IF(B25=B24,(C25-C24)/C24,"")</f>
        <v>-0.0245589761328261</v>
      </c>
      <c r="E25" s="20" t="n">
        <f aca="false">IF(B25=B24,(1+E24)*(1+IF(D25="",0,D25))-1,0)</f>
        <v>-0.0599999999999999</v>
      </c>
      <c r="F25" s="21" t="n">
        <f aca="false">IF(B25=B24,MAX(F24,C25),C25)</f>
        <v>193.87</v>
      </c>
      <c r="G25" s="20" t="n">
        <f aca="false">(C25-F25)/F25</f>
        <v>-0.127250219219064</v>
      </c>
      <c r="H25" s="21" t="n">
        <f aca="true">IF(COUNTIFS($B$2:B25,B25)&gt;=20,AVERAGE(OFFSET(C25,-19,0,20,1)),"")</f>
        <v>182.205</v>
      </c>
      <c r="I25" s="21" t="str">
        <f aca="true">IF(COUNTIFS($B$2:B25,B25)&gt;=50,AVERAGE(OFFSET(C25,-49,0,50,1)),"")</f>
        <v/>
      </c>
    </row>
    <row r="26" customFormat="false" ht="15" hidden="false" customHeight="false" outlineLevel="0" collapsed="false">
      <c r="A26" s="17" t="n">
        <f aca="false">Cours_Bruts!A26</f>
        <v>45751</v>
      </c>
      <c r="B26" s="18" t="str">
        <f aca="false">Cours_Bruts!B26</f>
        <v>AAPL</v>
      </c>
      <c r="C26" s="19" t="n">
        <f aca="false">Cours_Bruts!C26</f>
        <v>167.67</v>
      </c>
      <c r="D26" s="20" t="n">
        <f aca="false">IF(B26=B25,(C26-C25)/C25,"")</f>
        <v>-0.00904255319148937</v>
      </c>
      <c r="E26" s="20" t="n">
        <f aca="false">IF(B26=B25,(1+E25)*(1+IF(D26="",0,D26))-1,0)</f>
        <v>-0.0685</v>
      </c>
      <c r="F26" s="21" t="n">
        <f aca="false">IF(B26=B25,MAX(F25,C26),C26)</f>
        <v>193.87</v>
      </c>
      <c r="G26" s="20" t="n">
        <f aca="false">(C26-F26)/F26</f>
        <v>-0.135142105534637</v>
      </c>
      <c r="H26" s="21" t="n">
        <f aca="true">IF(COUNTIFS($B$2:B26,B26)&gt;=20,AVERAGE(OFFSET(C26,-19,0,20,1)),"")</f>
        <v>181.282</v>
      </c>
      <c r="I26" s="21" t="str">
        <f aca="true">IF(COUNTIFS($B$2:B26,B26)&gt;=50,AVERAGE(OFFSET(C26,-49,0,50,1)),"")</f>
        <v/>
      </c>
    </row>
    <row r="27" customFormat="false" ht="15" hidden="false" customHeight="false" outlineLevel="0" collapsed="false">
      <c r="A27" s="17" t="n">
        <f aca="false">Cours_Bruts!A27</f>
        <v>45754</v>
      </c>
      <c r="B27" s="18" t="str">
        <f aca="false">Cours_Bruts!B27</f>
        <v>AAPL</v>
      </c>
      <c r="C27" s="19" t="n">
        <f aca="false">Cours_Bruts!C27</f>
        <v>168.09</v>
      </c>
      <c r="D27" s="20" t="n">
        <f aca="false">IF(B27=B26,(C27-C26)/C26,"")</f>
        <v>0.00250492037931661</v>
      </c>
      <c r="E27" s="20" t="n">
        <f aca="false">IF(B27=B26,(1+E26)*(1+IF(D27="",0,D27))-1,0)</f>
        <v>-0.0661666666666666</v>
      </c>
      <c r="F27" s="21" t="n">
        <f aca="false">IF(B27=B26,MAX(F26,C27),C27)</f>
        <v>193.87</v>
      </c>
      <c r="G27" s="20" t="n">
        <f aca="false">(C27-F27)/F27</f>
        <v>-0.132975705369578</v>
      </c>
      <c r="H27" s="21" t="n">
        <f aca="true">IF(COUNTIFS($B$2:B27,B27)&gt;=20,AVERAGE(OFFSET(C27,-19,0,20,1)),"")</f>
        <v>180.413</v>
      </c>
      <c r="I27" s="21" t="str">
        <f aca="true">IF(COUNTIFS($B$2:B27,B27)&gt;=50,AVERAGE(OFFSET(C27,-49,0,50,1)),"")</f>
        <v/>
      </c>
    </row>
    <row r="28" customFormat="false" ht="15" hidden="false" customHeight="false" outlineLevel="0" collapsed="false">
      <c r="A28" s="17" t="n">
        <f aca="false">Cours_Bruts!A28</f>
        <v>45755</v>
      </c>
      <c r="B28" s="18" t="str">
        <f aca="false">Cours_Bruts!B28</f>
        <v>AAPL</v>
      </c>
      <c r="C28" s="19" t="n">
        <f aca="false">Cours_Bruts!C28</f>
        <v>164.77</v>
      </c>
      <c r="D28" s="20" t="n">
        <f aca="false">IF(B28=B27,(C28-C27)/C27,"")</f>
        <v>-0.0197513236956392</v>
      </c>
      <c r="E28" s="20" t="n">
        <f aca="false">IF(B28=B27,(1+E27)*(1+IF(D28="",0,D28))-1,0)</f>
        <v>-0.0846111111111111</v>
      </c>
      <c r="F28" s="21" t="n">
        <f aca="false">IF(B28=B27,MAX(F27,C28),C28)</f>
        <v>193.87</v>
      </c>
      <c r="G28" s="20" t="n">
        <f aca="false">(C28-F28)/F28</f>
        <v>-0.150100582864806</v>
      </c>
      <c r="H28" s="21" t="n">
        <f aca="true">IF(COUNTIFS($B$2:B28,B28)&gt;=20,AVERAGE(OFFSET(C28,-19,0,20,1)),"")</f>
        <v>179.115</v>
      </c>
      <c r="I28" s="21" t="str">
        <f aca="true">IF(COUNTIFS($B$2:B28,B28)&gt;=50,AVERAGE(OFFSET(C28,-49,0,50,1)),"")</f>
        <v/>
      </c>
    </row>
    <row r="29" customFormat="false" ht="15" hidden="false" customHeight="false" outlineLevel="0" collapsed="false">
      <c r="A29" s="17" t="n">
        <f aca="false">Cours_Bruts!A29</f>
        <v>45756</v>
      </c>
      <c r="B29" s="18" t="str">
        <f aca="false">Cours_Bruts!B29</f>
        <v>AAPL</v>
      </c>
      <c r="C29" s="19" t="n">
        <f aca="false">Cours_Bruts!C29</f>
        <v>165.95</v>
      </c>
      <c r="D29" s="20" t="n">
        <f aca="false">IF(B29=B28,(C29-C28)/C28,"")</f>
        <v>0.00716149784548145</v>
      </c>
      <c r="E29" s="20" t="n">
        <f aca="false">IF(B29=B28,(1+E28)*(1+IF(D29="",0,D29))-1,0)</f>
        <v>-0.0780555555555557</v>
      </c>
      <c r="F29" s="21" t="n">
        <f aca="false">IF(B29=B28,MAX(F28,C29),C29)</f>
        <v>193.87</v>
      </c>
      <c r="G29" s="20" t="n">
        <f aca="false">(C29-F29)/F29</f>
        <v>-0.144014030020117</v>
      </c>
      <c r="H29" s="21" t="n">
        <f aca="true">IF(COUNTIFS($B$2:B29,B29)&gt;=20,AVERAGE(OFFSET(C29,-19,0,20,1)),"")</f>
        <v>177.7415</v>
      </c>
      <c r="I29" s="21" t="str">
        <f aca="true">IF(COUNTIFS($B$2:B29,B29)&gt;=50,AVERAGE(OFFSET(C29,-49,0,50,1)),"")</f>
        <v/>
      </c>
    </row>
    <row r="30" customFormat="false" ht="15" hidden="false" customHeight="false" outlineLevel="0" collapsed="false">
      <c r="A30" s="17" t="n">
        <f aca="false">Cours_Bruts!A30</f>
        <v>45757</v>
      </c>
      <c r="B30" s="18" t="str">
        <f aca="false">Cours_Bruts!B30</f>
        <v>AAPL</v>
      </c>
      <c r="C30" s="19" t="n">
        <f aca="false">Cours_Bruts!C30</f>
        <v>164.29</v>
      </c>
      <c r="D30" s="20" t="n">
        <f aca="false">IF(B30=B29,(C30-C29)/C29,"")</f>
        <v>-0.0100030129557095</v>
      </c>
      <c r="E30" s="20" t="n">
        <f aca="false">IF(B30=B29,(1+E29)*(1+IF(D30="",0,D30))-1,0)</f>
        <v>-0.0872777777777778</v>
      </c>
      <c r="F30" s="21" t="n">
        <f aca="false">IF(B30=B29,MAX(F29,C30),C30)</f>
        <v>193.87</v>
      </c>
      <c r="G30" s="20" t="n">
        <f aca="false">(C30-F30)/F30</f>
        <v>-0.152576468767731</v>
      </c>
      <c r="H30" s="21" t="n">
        <f aca="true">IF(COUNTIFS($B$2:B30,B30)&gt;=20,AVERAGE(OFFSET(C30,-19,0,20,1)),"")</f>
        <v>176.3595</v>
      </c>
      <c r="I30" s="21" t="str">
        <f aca="true">IF(COUNTIFS($B$2:B30,B30)&gt;=50,AVERAGE(OFFSET(C30,-49,0,50,1)),"")</f>
        <v/>
      </c>
    </row>
    <row r="31" customFormat="false" ht="15" hidden="false" customHeight="false" outlineLevel="0" collapsed="false">
      <c r="A31" s="17" t="n">
        <f aca="false">Cours_Bruts!A31</f>
        <v>45758</v>
      </c>
      <c r="B31" s="18" t="str">
        <f aca="false">Cours_Bruts!B31</f>
        <v>AAPL</v>
      </c>
      <c r="C31" s="19" t="n">
        <f aca="false">Cours_Bruts!C31</f>
        <v>163.53</v>
      </c>
      <c r="D31" s="20" t="n">
        <f aca="false">IF(B31=B30,(C31-C30)/C30,"")</f>
        <v>-0.00462596627914049</v>
      </c>
      <c r="E31" s="20" t="n">
        <f aca="false">IF(B31=B30,(1+E30)*(1+IF(D31="",0,D31))-1,0)</f>
        <v>-0.0914999999999999</v>
      </c>
      <c r="F31" s="21" t="n">
        <f aca="false">IF(B31=B30,MAX(F30,C31),C31)</f>
        <v>193.87</v>
      </c>
      <c r="G31" s="20" t="n">
        <f aca="false">(C31-F31)/F31</f>
        <v>-0.156496621447362</v>
      </c>
      <c r="H31" s="21" t="n">
        <f aca="true">IF(COUNTIFS($B$2:B31,B31)&gt;=20,AVERAGE(OFFSET(C31,-19,0,20,1)),"")</f>
        <v>174.8425</v>
      </c>
      <c r="I31" s="21" t="str">
        <f aca="true">IF(COUNTIFS($B$2:B31,B31)&gt;=50,AVERAGE(OFFSET(C31,-49,0,50,1)),"")</f>
        <v/>
      </c>
    </row>
    <row r="32" customFormat="false" ht="15" hidden="false" customHeight="false" outlineLevel="0" collapsed="false">
      <c r="A32" s="17" t="n">
        <f aca="false">Cours_Bruts!A32</f>
        <v>45761</v>
      </c>
      <c r="B32" s="18" t="str">
        <f aca="false">Cours_Bruts!B32</f>
        <v>AAPL</v>
      </c>
      <c r="C32" s="19" t="n">
        <f aca="false">Cours_Bruts!C32</f>
        <v>161.89</v>
      </c>
      <c r="D32" s="20" t="n">
        <f aca="false">IF(B32=B31,(C32-C31)/C31,"")</f>
        <v>-0.0100287409038098</v>
      </c>
      <c r="E32" s="20" t="n">
        <f aca="false">IF(B32=B31,(1+E31)*(1+IF(D32="",0,D32))-1,0)</f>
        <v>-0.100611111111111</v>
      </c>
      <c r="F32" s="21" t="n">
        <f aca="false">IF(B32=B31,MAX(F31,C32),C32)</f>
        <v>193.87</v>
      </c>
      <c r="G32" s="20" t="n">
        <f aca="false">(C32-F32)/F32</f>
        <v>-0.164955898282354</v>
      </c>
      <c r="H32" s="21" t="n">
        <f aca="true">IF(COUNTIFS($B$2:B32,B32)&gt;=20,AVERAGE(OFFSET(C32,-19,0,20,1)),"")</f>
        <v>173.3175</v>
      </c>
      <c r="I32" s="21" t="str">
        <f aca="true">IF(COUNTIFS($B$2:B32,B32)&gt;=50,AVERAGE(OFFSET(C32,-49,0,50,1)),"")</f>
        <v/>
      </c>
    </row>
    <row r="33" customFormat="false" ht="15" hidden="false" customHeight="false" outlineLevel="0" collapsed="false">
      <c r="A33" s="17" t="n">
        <f aca="false">Cours_Bruts!A33</f>
        <v>45762</v>
      </c>
      <c r="B33" s="18" t="str">
        <f aca="false">Cours_Bruts!B33</f>
        <v>AAPL</v>
      </c>
      <c r="C33" s="19" t="n">
        <f aca="false">Cours_Bruts!C33</f>
        <v>167.27</v>
      </c>
      <c r="D33" s="20" t="n">
        <f aca="false">IF(B33=B32,(C33-C32)/C32,"")</f>
        <v>0.0332324417814567</v>
      </c>
      <c r="E33" s="20" t="n">
        <f aca="false">IF(B33=B32,(1+E32)*(1+IF(D33="",0,D33))-1,0)</f>
        <v>-0.0707222222222221</v>
      </c>
      <c r="F33" s="21" t="n">
        <f aca="false">IF(B33=B32,MAX(F32,C33),C33)</f>
        <v>193.87</v>
      </c>
      <c r="G33" s="20" t="n">
        <f aca="false">(C33-F33)/F33</f>
        <v>-0.137205343787074</v>
      </c>
      <c r="H33" s="21" t="n">
        <f aca="true">IF(COUNTIFS($B$2:B33,B33)&gt;=20,AVERAGE(OFFSET(C33,-19,0,20,1)),"")</f>
        <v>172.135</v>
      </c>
      <c r="I33" s="21" t="str">
        <f aca="true">IF(COUNTIFS($B$2:B33,B33)&gt;=50,AVERAGE(OFFSET(C33,-49,0,50,1)),"")</f>
        <v/>
      </c>
    </row>
    <row r="34" customFormat="false" ht="15" hidden="false" customHeight="false" outlineLevel="0" collapsed="false">
      <c r="A34" s="17" t="n">
        <f aca="false">Cours_Bruts!A34</f>
        <v>45763</v>
      </c>
      <c r="B34" s="18" t="str">
        <f aca="false">Cours_Bruts!B34</f>
        <v>AAPL</v>
      </c>
      <c r="C34" s="19" t="n">
        <f aca="false">Cours_Bruts!C34</f>
        <v>167.32</v>
      </c>
      <c r="D34" s="20" t="n">
        <f aca="false">IF(B34=B33,(C34-C33)/C33,"")</f>
        <v>0.000298917917139851</v>
      </c>
      <c r="E34" s="20" t="n">
        <f aca="false">IF(B34=B33,(1+E33)*(1+IF(D34="",0,D34))-1,0)</f>
        <v>-0.0704444444444445</v>
      </c>
      <c r="F34" s="21" t="n">
        <f aca="false">IF(B34=B33,MAX(F33,C34),C34)</f>
        <v>193.87</v>
      </c>
      <c r="G34" s="20" t="n">
        <f aca="false">(C34-F34)/F34</f>
        <v>-0.136947439005519</v>
      </c>
      <c r="H34" s="21" t="n">
        <f aca="true">IF(COUNTIFS($B$2:B34,B34)&gt;=20,AVERAGE(OFFSET(C34,-19,0,20,1)),"")</f>
        <v>170.909</v>
      </c>
      <c r="I34" s="21" t="str">
        <f aca="true">IF(COUNTIFS($B$2:B34,B34)&gt;=50,AVERAGE(OFFSET(C34,-49,0,50,1)),"")</f>
        <v/>
      </c>
    </row>
    <row r="35" customFormat="false" ht="15" hidden="false" customHeight="false" outlineLevel="0" collapsed="false">
      <c r="A35" s="17" t="n">
        <f aca="false">Cours_Bruts!A35</f>
        <v>45764</v>
      </c>
      <c r="B35" s="18" t="str">
        <f aca="false">Cours_Bruts!B35</f>
        <v>AAPL</v>
      </c>
      <c r="C35" s="19" t="n">
        <f aca="false">Cours_Bruts!C35</f>
        <v>164.29</v>
      </c>
      <c r="D35" s="20" t="n">
        <f aca="false">IF(B35=B34,(C35-C34)/C34,"")</f>
        <v>-0.0181090126703323</v>
      </c>
      <c r="E35" s="20" t="n">
        <f aca="false">IF(B35=B34,(1+E34)*(1+IF(D35="",0,D35))-1,0)</f>
        <v>-0.0872777777777778</v>
      </c>
      <c r="F35" s="21" t="n">
        <f aca="false">IF(B35=B34,MAX(F34,C35),C35)</f>
        <v>193.87</v>
      </c>
      <c r="G35" s="20" t="n">
        <f aca="false">(C35-F35)/F35</f>
        <v>-0.152576468767731</v>
      </c>
      <c r="H35" s="21" t="n">
        <f aca="true">IF(COUNTIFS($B$2:B35,B35)&gt;=20,AVERAGE(OFFSET(C35,-19,0,20,1)),"")</f>
        <v>169.85</v>
      </c>
      <c r="I35" s="21" t="str">
        <f aca="true">IF(COUNTIFS($B$2:B35,B35)&gt;=50,AVERAGE(OFFSET(C35,-49,0,50,1)),"")</f>
        <v/>
      </c>
    </row>
    <row r="36" customFormat="false" ht="15" hidden="false" customHeight="false" outlineLevel="0" collapsed="false">
      <c r="A36" s="17" t="n">
        <f aca="false">Cours_Bruts!A36</f>
        <v>45765</v>
      </c>
      <c r="B36" s="18" t="str">
        <f aca="false">Cours_Bruts!B36</f>
        <v>AAPL</v>
      </c>
      <c r="C36" s="19" t="n">
        <f aca="false">Cours_Bruts!C36</f>
        <v>166.77</v>
      </c>
      <c r="D36" s="20" t="n">
        <f aca="false">IF(B36=B35,(C36-C35)/C35,"")</f>
        <v>0.015095258384564</v>
      </c>
      <c r="E36" s="20" t="n">
        <f aca="false">IF(B36=B35,(1+E35)*(1+IF(D36="",0,D36))-1,0)</f>
        <v>-0.0734999999999999</v>
      </c>
      <c r="F36" s="21" t="n">
        <f aca="false">IF(B36=B35,MAX(F35,C36),C36)</f>
        <v>193.87</v>
      </c>
      <c r="G36" s="20" t="n">
        <f aca="false">(C36-F36)/F36</f>
        <v>-0.13978439160262</v>
      </c>
      <c r="H36" s="21" t="n">
        <f aca="true">IF(COUNTIFS($B$2:B36,B36)&gt;=20,AVERAGE(OFFSET(C36,-19,0,20,1)),"")</f>
        <v>169.192</v>
      </c>
      <c r="I36" s="21" t="str">
        <f aca="true">IF(COUNTIFS($B$2:B36,B36)&gt;=50,AVERAGE(OFFSET(C36,-49,0,50,1)),"")</f>
        <v/>
      </c>
    </row>
    <row r="37" customFormat="false" ht="15" hidden="false" customHeight="false" outlineLevel="0" collapsed="false">
      <c r="A37" s="17" t="n">
        <f aca="false">Cours_Bruts!A37</f>
        <v>45768</v>
      </c>
      <c r="B37" s="18" t="str">
        <f aca="false">Cours_Bruts!B37</f>
        <v>AAPL</v>
      </c>
      <c r="C37" s="19" t="n">
        <f aca="false">Cours_Bruts!C37</f>
        <v>163.27</v>
      </c>
      <c r="D37" s="20" t="n">
        <f aca="false">IF(B37=B36,(C37-C36)/C36,"")</f>
        <v>-0.0209869880673982</v>
      </c>
      <c r="E37" s="20" t="n">
        <f aca="false">IF(B37=B36,(1+E36)*(1+IF(D37="",0,D37))-1,0)</f>
        <v>-0.0929444444444443</v>
      </c>
      <c r="F37" s="21" t="n">
        <f aca="false">IF(B37=B36,MAX(F36,C37),C37)</f>
        <v>193.87</v>
      </c>
      <c r="G37" s="20" t="n">
        <f aca="false">(C37-F37)/F37</f>
        <v>-0.157837726311446</v>
      </c>
      <c r="H37" s="21" t="n">
        <f aca="true">IF(COUNTIFS($B$2:B37,B37)&gt;=20,AVERAGE(OFFSET(C37,-19,0,20,1)),"")</f>
        <v>168.443</v>
      </c>
      <c r="I37" s="21" t="str">
        <f aca="true">IF(COUNTIFS($B$2:B37,B37)&gt;=50,AVERAGE(OFFSET(C37,-49,0,50,1)),"")</f>
        <v/>
      </c>
    </row>
    <row r="38" customFormat="false" ht="15" hidden="false" customHeight="false" outlineLevel="0" collapsed="false">
      <c r="A38" s="17" t="n">
        <f aca="false">Cours_Bruts!A38</f>
        <v>45769</v>
      </c>
      <c r="B38" s="18" t="str">
        <f aca="false">Cours_Bruts!B38</f>
        <v>AAPL</v>
      </c>
      <c r="C38" s="19" t="n">
        <f aca="false">Cours_Bruts!C38</f>
        <v>163.96</v>
      </c>
      <c r="D38" s="20" t="n">
        <f aca="false">IF(B38=B37,(C38-C37)/C37,"")</f>
        <v>0.00422612849880565</v>
      </c>
      <c r="E38" s="20" t="n">
        <f aca="false">IF(B38=B37,(1+E37)*(1+IF(D38="",0,D38))-1,0)</f>
        <v>-0.0891111111111109</v>
      </c>
      <c r="F38" s="21" t="n">
        <f aca="false">IF(B38=B37,MAX(F37,C38),C38)</f>
        <v>193.87</v>
      </c>
      <c r="G38" s="20" t="n">
        <f aca="false">(C38-F38)/F38</f>
        <v>-0.154278640325992</v>
      </c>
      <c r="H38" s="21" t="n">
        <f aca="true">IF(COUNTIFS($B$2:B38,B38)&gt;=20,AVERAGE(OFFSET(C38,-19,0,20,1)),"")</f>
        <v>167.883</v>
      </c>
      <c r="I38" s="21" t="str">
        <f aca="true">IF(COUNTIFS($B$2:B38,B38)&gt;=50,AVERAGE(OFFSET(C38,-49,0,50,1)),"")</f>
        <v/>
      </c>
    </row>
    <row r="39" customFormat="false" ht="15" hidden="false" customHeight="false" outlineLevel="0" collapsed="false">
      <c r="A39" s="17" t="n">
        <f aca="false">Cours_Bruts!A39</f>
        <v>45770</v>
      </c>
      <c r="B39" s="18" t="str">
        <f aca="false">Cours_Bruts!B39</f>
        <v>AAPL</v>
      </c>
      <c r="C39" s="19" t="n">
        <f aca="false">Cours_Bruts!C39</f>
        <v>158.38</v>
      </c>
      <c r="D39" s="20" t="n">
        <f aca="false">IF(B39=B38,(C39-C38)/C38,"")</f>
        <v>-0.0340326909002196</v>
      </c>
      <c r="E39" s="20" t="n">
        <f aca="false">IF(B39=B38,(1+E38)*(1+IF(D39="",0,D39))-1,0)</f>
        <v>-0.120111111111111</v>
      </c>
      <c r="F39" s="21" t="n">
        <f aca="false">IF(B39=B38,MAX(F38,C39),C39)</f>
        <v>193.87</v>
      </c>
      <c r="G39" s="20" t="n">
        <f aca="false">(C39-F39)/F39</f>
        <v>-0.183060813947491</v>
      </c>
      <c r="H39" s="21" t="n">
        <f aca="true">IF(COUNTIFS($B$2:B39,B39)&gt;=20,AVERAGE(OFFSET(C39,-19,0,20,1)),"")</f>
        <v>166.9905</v>
      </c>
      <c r="I39" s="21" t="str">
        <f aca="true">IF(COUNTIFS($B$2:B39,B39)&gt;=50,AVERAGE(OFFSET(C39,-49,0,50,1)),"")</f>
        <v/>
      </c>
    </row>
    <row r="40" customFormat="false" ht="15" hidden="false" customHeight="false" outlineLevel="0" collapsed="false">
      <c r="A40" s="17" t="n">
        <f aca="false">Cours_Bruts!A40</f>
        <v>45771</v>
      </c>
      <c r="B40" s="18" t="str">
        <f aca="false">Cours_Bruts!B40</f>
        <v>AAPL</v>
      </c>
      <c r="C40" s="19" t="n">
        <f aca="false">Cours_Bruts!C40</f>
        <v>154.76</v>
      </c>
      <c r="D40" s="20" t="n">
        <f aca="false">IF(B40=B39,(C40-C39)/C39,"")</f>
        <v>-0.0228564212653113</v>
      </c>
      <c r="E40" s="20" t="n">
        <f aca="false">IF(B40=B39,(1+E39)*(1+IF(D40="",0,D40))-1,0)</f>
        <v>-0.140222222222222</v>
      </c>
      <c r="F40" s="21" t="n">
        <f aca="false">IF(B40=B39,MAX(F39,C40),C40)</f>
        <v>193.87</v>
      </c>
      <c r="G40" s="20" t="n">
        <f aca="false">(C40-F40)/F40</f>
        <v>-0.201733120132047</v>
      </c>
      <c r="H40" s="21" t="n">
        <f aca="true">IF(COUNTIFS($B$2:B40,B40)&gt;=20,AVERAGE(OFFSET(C40,-19,0,20,1)),"")</f>
        <v>166.053</v>
      </c>
      <c r="I40" s="21" t="str">
        <f aca="true">IF(COUNTIFS($B$2:B40,B40)&gt;=50,AVERAGE(OFFSET(C40,-49,0,50,1)),"")</f>
        <v/>
      </c>
    </row>
    <row r="41" customFormat="false" ht="15" hidden="false" customHeight="false" outlineLevel="0" collapsed="false">
      <c r="A41" s="17" t="n">
        <f aca="false">Cours_Bruts!A41</f>
        <v>45772</v>
      </c>
      <c r="B41" s="18" t="str">
        <f aca="false">Cours_Bruts!B41</f>
        <v>AAPL</v>
      </c>
      <c r="C41" s="19" t="n">
        <f aca="false">Cours_Bruts!C41</f>
        <v>155.38</v>
      </c>
      <c r="D41" s="20" t="n">
        <f aca="false">IF(B41=B40,(C41-C40)/C40,"")</f>
        <v>0.00400620315326961</v>
      </c>
      <c r="E41" s="20" t="n">
        <f aca="false">IF(B41=B40,(1+E40)*(1+IF(D41="",0,D41))-1,0)</f>
        <v>-0.136777777777778</v>
      </c>
      <c r="F41" s="21" t="n">
        <f aca="false">IF(B41=B40,MAX(F40,C41),C41)</f>
        <v>193.87</v>
      </c>
      <c r="G41" s="20" t="n">
        <f aca="false">(C41-F41)/F41</f>
        <v>-0.19853510084077</v>
      </c>
      <c r="H41" s="21" t="n">
        <f aca="true">IF(COUNTIFS($B$2:B41,B41)&gt;=20,AVERAGE(OFFSET(C41,-19,0,20,1)),"")</f>
        <v>165.358</v>
      </c>
      <c r="I41" s="21" t="str">
        <f aca="true">IF(COUNTIFS($B$2:B41,B41)&gt;=50,AVERAGE(OFFSET(C41,-49,0,50,1)),"")</f>
        <v/>
      </c>
    </row>
    <row r="42" customFormat="false" ht="15" hidden="false" customHeight="false" outlineLevel="0" collapsed="false">
      <c r="A42" s="17" t="n">
        <f aca="false">Cours_Bruts!A42</f>
        <v>45775</v>
      </c>
      <c r="B42" s="18" t="str">
        <f aca="false">Cours_Bruts!B42</f>
        <v>AAPL</v>
      </c>
      <c r="C42" s="19" t="n">
        <f aca="false">Cours_Bruts!C42</f>
        <v>157.49</v>
      </c>
      <c r="D42" s="20" t="n">
        <f aca="false">IF(B42=B41,(C42-C41)/C41,"")</f>
        <v>0.0135796112755825</v>
      </c>
      <c r="E42" s="20" t="n">
        <f aca="false">IF(B42=B41,(1+E41)*(1+IF(D42="",0,D42))-1,0)</f>
        <v>-0.125055555555555</v>
      </c>
      <c r="F42" s="21" t="n">
        <f aca="false">IF(B42=B41,MAX(F41,C42),C42)</f>
        <v>193.87</v>
      </c>
      <c r="G42" s="20" t="n">
        <f aca="false">(C42-F42)/F42</f>
        <v>-0.187651519059163</v>
      </c>
      <c r="H42" s="21" t="n">
        <f aca="true">IF(COUNTIFS($B$2:B42,B42)&gt;=20,AVERAGE(OFFSET(C42,-19,0,20,1)),"")</f>
        <v>164.545</v>
      </c>
      <c r="I42" s="21" t="str">
        <f aca="true">IF(COUNTIFS($B$2:B42,B42)&gt;=50,AVERAGE(OFFSET(C42,-49,0,50,1)),"")</f>
        <v/>
      </c>
    </row>
    <row r="43" customFormat="false" ht="15" hidden="false" customHeight="false" outlineLevel="0" collapsed="false">
      <c r="A43" s="17" t="n">
        <f aca="false">Cours_Bruts!A43</f>
        <v>45776</v>
      </c>
      <c r="B43" s="18" t="str">
        <f aca="false">Cours_Bruts!B43</f>
        <v>AAPL</v>
      </c>
      <c r="C43" s="19" t="n">
        <f aca="false">Cours_Bruts!C43</f>
        <v>158.06</v>
      </c>
      <c r="D43" s="20" t="n">
        <f aca="false">IF(B43=B42,(C43-C42)/C42,"")</f>
        <v>0.00361927741443897</v>
      </c>
      <c r="E43" s="20" t="n">
        <f aca="false">IF(B43=B42,(1+E42)*(1+IF(D43="",0,D43))-1,0)</f>
        <v>-0.121888888888888</v>
      </c>
      <c r="F43" s="21" t="n">
        <f aca="false">IF(B43=B42,MAX(F42,C43),C43)</f>
        <v>193.87</v>
      </c>
      <c r="G43" s="20" t="n">
        <f aca="false">(C43-F43)/F43</f>
        <v>-0.18471140454944</v>
      </c>
      <c r="H43" s="21" t="n">
        <f aca="true">IF(COUNTIFS($B$2:B43,B43)&gt;=20,AVERAGE(OFFSET(C43,-19,0,20,1)),"")</f>
        <v>163.79</v>
      </c>
      <c r="I43" s="21" t="str">
        <f aca="true">IF(COUNTIFS($B$2:B43,B43)&gt;=50,AVERAGE(OFFSET(C43,-49,0,50,1)),"")</f>
        <v/>
      </c>
    </row>
    <row r="44" customFormat="false" ht="15" hidden="false" customHeight="false" outlineLevel="0" collapsed="false">
      <c r="A44" s="17" t="n">
        <f aca="false">Cours_Bruts!A44</f>
        <v>45777</v>
      </c>
      <c r="B44" s="18" t="str">
        <f aca="false">Cours_Bruts!B44</f>
        <v>AAPL</v>
      </c>
      <c r="C44" s="19" t="n">
        <f aca="false">Cours_Bruts!C44</f>
        <v>157.82</v>
      </c>
      <c r="D44" s="20" t="n">
        <f aca="false">IF(B44=B43,(C44-C43)/C43,"")</f>
        <v>-0.00151841073010255</v>
      </c>
      <c r="E44" s="20" t="n">
        <f aca="false">IF(B44=B43,(1+E43)*(1+IF(D44="",0,D44))-1,0)</f>
        <v>-0.123222222222222</v>
      </c>
      <c r="F44" s="21" t="n">
        <f aca="false">IF(B44=B43,MAX(F43,C44),C44)</f>
        <v>193.87</v>
      </c>
      <c r="G44" s="20" t="n">
        <f aca="false">(C44-F44)/F44</f>
        <v>-0.185949347500903</v>
      </c>
      <c r="H44" s="21" t="n">
        <f aca="true">IF(COUNTIFS($B$2:B44,B44)&gt;=20,AVERAGE(OFFSET(C44,-19,0,20,1)),"")</f>
        <v>163.008</v>
      </c>
      <c r="I44" s="21" t="str">
        <f aca="true">IF(COUNTIFS($B$2:B44,B44)&gt;=50,AVERAGE(OFFSET(C44,-49,0,50,1)),"")</f>
        <v/>
      </c>
    </row>
    <row r="45" customFormat="false" ht="15" hidden="false" customHeight="false" outlineLevel="0" collapsed="false">
      <c r="A45" s="17" t="n">
        <f aca="false">Cours_Bruts!A45</f>
        <v>45778</v>
      </c>
      <c r="B45" s="18" t="str">
        <f aca="false">Cours_Bruts!B45</f>
        <v>AAPL</v>
      </c>
      <c r="C45" s="19" t="n">
        <f aca="false">Cours_Bruts!C45</f>
        <v>157.07</v>
      </c>
      <c r="D45" s="20" t="n">
        <f aca="false">IF(B45=B44,(C45-C44)/C44,"")</f>
        <v>-0.00475224939804841</v>
      </c>
      <c r="E45" s="20" t="n">
        <f aca="false">IF(B45=B44,(1+E44)*(1+IF(D45="",0,D45))-1,0)</f>
        <v>-0.127388888888888</v>
      </c>
      <c r="F45" s="21" t="n">
        <f aca="false">IF(B45=B44,MAX(F44,C45),C45)</f>
        <v>193.87</v>
      </c>
      <c r="G45" s="20" t="n">
        <f aca="false">(C45-F45)/F45</f>
        <v>-0.189817919224222</v>
      </c>
      <c r="H45" s="21" t="n">
        <f aca="true">IF(COUNTIFS($B$2:B45,B45)&gt;=20,AVERAGE(OFFSET(C45,-19,0,20,1)),"")</f>
        <v>162.4015</v>
      </c>
      <c r="I45" s="21" t="str">
        <f aca="true">IF(COUNTIFS($B$2:B45,B45)&gt;=50,AVERAGE(OFFSET(C45,-49,0,50,1)),"")</f>
        <v/>
      </c>
    </row>
    <row r="46" customFormat="false" ht="15" hidden="false" customHeight="false" outlineLevel="0" collapsed="false">
      <c r="A46" s="17" t="n">
        <f aca="false">Cours_Bruts!A46</f>
        <v>45779</v>
      </c>
      <c r="B46" s="18" t="str">
        <f aca="false">Cours_Bruts!B46</f>
        <v>AAPL</v>
      </c>
      <c r="C46" s="19" t="n">
        <f aca="false">Cours_Bruts!C46</f>
        <v>153.06</v>
      </c>
      <c r="D46" s="20" t="n">
        <f aca="false">IF(B46=B45,(C46-C45)/C45,"")</f>
        <v>-0.0255300184631056</v>
      </c>
      <c r="E46" s="20" t="n">
        <f aca="false">IF(B46=B45,(1+E45)*(1+IF(D46="",0,D46))-1,0)</f>
        <v>-0.149666666666666</v>
      </c>
      <c r="F46" s="21" t="n">
        <f aca="false">IF(B46=B45,MAX(F45,C46),C46)</f>
        <v>193.87</v>
      </c>
      <c r="G46" s="20" t="n">
        <f aca="false">(C46-F46)/F46</f>
        <v>-0.210501882704905</v>
      </c>
      <c r="H46" s="21" t="n">
        <f aca="true">IF(COUNTIFS($B$2:B46,B46)&gt;=20,AVERAGE(OFFSET(C46,-19,0,20,1)),"")</f>
        <v>161.671</v>
      </c>
      <c r="I46" s="21" t="str">
        <f aca="true">IF(COUNTIFS($B$2:B46,B46)&gt;=50,AVERAGE(OFFSET(C46,-49,0,50,1)),"")</f>
        <v/>
      </c>
    </row>
    <row r="47" customFormat="false" ht="15" hidden="false" customHeight="false" outlineLevel="0" collapsed="false">
      <c r="A47" s="17" t="n">
        <f aca="false">Cours_Bruts!A47</f>
        <v>45782</v>
      </c>
      <c r="B47" s="18" t="str">
        <f aca="false">Cours_Bruts!B47</f>
        <v>AAPL</v>
      </c>
      <c r="C47" s="19" t="n">
        <f aca="false">Cours_Bruts!C47</f>
        <v>151.21</v>
      </c>
      <c r="D47" s="20" t="n">
        <f aca="false">IF(B47=B46,(C47-C46)/C46,"")</f>
        <v>-0.0120867633607735</v>
      </c>
      <c r="E47" s="20" t="n">
        <f aca="false">IF(B47=B46,(1+E46)*(1+IF(D47="",0,D47))-1,0)</f>
        <v>-0.159944444444444</v>
      </c>
      <c r="F47" s="21" t="n">
        <f aca="false">IF(B47=B46,MAX(F46,C47),C47)</f>
        <v>193.87</v>
      </c>
      <c r="G47" s="20" t="n">
        <f aca="false">(C47-F47)/F47</f>
        <v>-0.220044359622427</v>
      </c>
      <c r="H47" s="21" t="n">
        <f aca="true">IF(COUNTIFS($B$2:B47,B47)&gt;=20,AVERAGE(OFFSET(C47,-19,0,20,1)),"")</f>
        <v>160.827</v>
      </c>
      <c r="I47" s="21" t="str">
        <f aca="true">IF(COUNTIFS($B$2:B47,B47)&gt;=50,AVERAGE(OFFSET(C47,-49,0,50,1)),"")</f>
        <v/>
      </c>
    </row>
    <row r="48" customFormat="false" ht="15" hidden="false" customHeight="false" outlineLevel="0" collapsed="false">
      <c r="A48" s="17" t="n">
        <f aca="false">Cours_Bruts!A48</f>
        <v>45783</v>
      </c>
      <c r="B48" s="18" t="str">
        <f aca="false">Cours_Bruts!B48</f>
        <v>AAPL</v>
      </c>
      <c r="C48" s="19" t="n">
        <f aca="false">Cours_Bruts!C48</f>
        <v>150.06</v>
      </c>
      <c r="D48" s="20" t="n">
        <f aca="false">IF(B48=B47,(C48-C47)/C47,"")</f>
        <v>-0.00760531710865687</v>
      </c>
      <c r="E48" s="20" t="n">
        <f aca="false">IF(B48=B47,(1+E47)*(1+IF(D48="",0,D48))-1,0)</f>
        <v>-0.166333333333333</v>
      </c>
      <c r="F48" s="21" t="n">
        <f aca="false">IF(B48=B47,MAX(F47,C48),C48)</f>
        <v>193.87</v>
      </c>
      <c r="G48" s="20" t="n">
        <f aca="false">(C48-F48)/F48</f>
        <v>-0.225976169598184</v>
      </c>
      <c r="H48" s="21" t="n">
        <f aca="true">IF(COUNTIFS($B$2:B48,B48)&gt;=20,AVERAGE(OFFSET(C48,-19,0,20,1)),"")</f>
        <v>160.0915</v>
      </c>
      <c r="I48" s="21" t="str">
        <f aca="true">IF(COUNTIFS($B$2:B48,B48)&gt;=50,AVERAGE(OFFSET(C48,-49,0,50,1)),"")</f>
        <v/>
      </c>
    </row>
    <row r="49" customFormat="false" ht="15" hidden="false" customHeight="false" outlineLevel="0" collapsed="false">
      <c r="A49" s="17" t="n">
        <f aca="false">Cours_Bruts!A49</f>
        <v>45784</v>
      </c>
      <c r="B49" s="18" t="str">
        <f aca="false">Cours_Bruts!B49</f>
        <v>AAPL</v>
      </c>
      <c r="C49" s="19" t="n">
        <f aca="false">Cours_Bruts!C49</f>
        <v>152.94</v>
      </c>
      <c r="D49" s="20" t="n">
        <f aca="false">IF(B49=B48,(C49-C48)/C48,"")</f>
        <v>0.0191923230707717</v>
      </c>
      <c r="E49" s="20" t="n">
        <f aca="false">IF(B49=B48,(1+E48)*(1+IF(D49="",0,D49))-1,0)</f>
        <v>-0.150333333333333</v>
      </c>
      <c r="F49" s="21" t="n">
        <f aca="false">IF(B49=B48,MAX(F48,C49),C49)</f>
        <v>193.87</v>
      </c>
      <c r="G49" s="20" t="n">
        <f aca="false">(C49-F49)/F49</f>
        <v>-0.211120854180637</v>
      </c>
      <c r="H49" s="21" t="n">
        <f aca="true">IF(COUNTIFS($B$2:B49,B49)&gt;=20,AVERAGE(OFFSET(C49,-19,0,20,1)),"")</f>
        <v>159.441</v>
      </c>
      <c r="I49" s="21" t="str">
        <f aca="true">IF(COUNTIFS($B$2:B49,B49)&gt;=50,AVERAGE(OFFSET(C49,-49,0,50,1)),"")</f>
        <v/>
      </c>
    </row>
    <row r="50" customFormat="false" ht="15" hidden="false" customHeight="false" outlineLevel="0" collapsed="false">
      <c r="A50" s="17" t="n">
        <f aca="false">Cours_Bruts!A50</f>
        <v>45785</v>
      </c>
      <c r="B50" s="18" t="str">
        <f aca="false">Cours_Bruts!B50</f>
        <v>AAPL</v>
      </c>
      <c r="C50" s="19" t="n">
        <f aca="false">Cours_Bruts!C50</f>
        <v>153.95</v>
      </c>
      <c r="D50" s="20" t="n">
        <f aca="false">IF(B50=B49,(C50-C49)/C49,"")</f>
        <v>0.00660389695305343</v>
      </c>
      <c r="E50" s="20" t="n">
        <f aca="false">IF(B50=B49,(1+E49)*(1+IF(D50="",0,D50))-1,0)</f>
        <v>-0.144722222222222</v>
      </c>
      <c r="F50" s="21" t="n">
        <f aca="false">IF(B50=B49,MAX(F49,C50),C50)</f>
        <v>193.87</v>
      </c>
      <c r="G50" s="20" t="n">
        <f aca="false">(C50-F50)/F50</f>
        <v>-0.205911177593233</v>
      </c>
      <c r="H50" s="21" t="n">
        <f aca="true">IF(COUNTIFS($B$2:B50,B50)&gt;=20,AVERAGE(OFFSET(C50,-19,0,20,1)),"")</f>
        <v>158.924</v>
      </c>
      <c r="I50" s="21" t="str">
        <f aca="true">IF(COUNTIFS($B$2:B50,B50)&gt;=50,AVERAGE(OFFSET(C50,-49,0,50,1)),"")</f>
        <v/>
      </c>
    </row>
    <row r="51" customFormat="false" ht="15" hidden="false" customHeight="false" outlineLevel="0" collapsed="false">
      <c r="A51" s="17" t="n">
        <f aca="false">Cours_Bruts!A51</f>
        <v>45786</v>
      </c>
      <c r="B51" s="18" t="str">
        <f aca="false">Cours_Bruts!B51</f>
        <v>AAPL</v>
      </c>
      <c r="C51" s="19" t="n">
        <f aca="false">Cours_Bruts!C51</f>
        <v>149.25</v>
      </c>
      <c r="D51" s="20" t="n">
        <f aca="false">IF(B51=B50,(C51-C50)/C50,"")</f>
        <v>-0.0305293926599545</v>
      </c>
      <c r="E51" s="20" t="n">
        <f aca="false">IF(B51=B50,(1+E50)*(1+IF(D51="",0,D51))-1,0)</f>
        <v>-0.170833333333333</v>
      </c>
      <c r="F51" s="21" t="n">
        <f aca="false">IF(B51=B50,MAX(F50,C51),C51)</f>
        <v>193.87</v>
      </c>
      <c r="G51" s="20" t="n">
        <f aca="false">(C51-F51)/F51</f>
        <v>-0.23015422705937</v>
      </c>
      <c r="H51" s="21" t="n">
        <f aca="true">IF(COUNTIFS($B$2:B51,B51)&gt;=20,AVERAGE(OFFSET(C51,-19,0,20,1)),"")</f>
        <v>158.21</v>
      </c>
      <c r="I51" s="21" t="n">
        <f aca="true">IF(COUNTIFS($B$2:B51,B51)&gt;=50,AVERAGE(OFFSET(C51,-49,0,50,1)),"")</f>
        <v>170.6174</v>
      </c>
    </row>
    <row r="52" customFormat="false" ht="15" hidden="false" customHeight="false" outlineLevel="0" collapsed="false">
      <c r="A52" s="17" t="n">
        <f aca="false">Cours_Bruts!A52</f>
        <v>45789</v>
      </c>
      <c r="B52" s="18" t="str">
        <f aca="false">Cours_Bruts!B52</f>
        <v>AAPL</v>
      </c>
      <c r="C52" s="19" t="n">
        <f aca="false">Cours_Bruts!C52</f>
        <v>150.19</v>
      </c>
      <c r="D52" s="20" t="n">
        <f aca="false">IF(B52=B51,(C52-C51)/C51,"")</f>
        <v>0.00629815745393633</v>
      </c>
      <c r="E52" s="20" t="n">
        <f aca="false">IF(B52=B51,(1+E51)*(1+IF(D52="",0,D52))-1,0)</f>
        <v>-0.165611111111111</v>
      </c>
      <c r="F52" s="21" t="n">
        <f aca="false">IF(B52=B51,MAX(F51,C52),C52)</f>
        <v>193.87</v>
      </c>
      <c r="G52" s="20" t="n">
        <f aca="false">(C52-F52)/F52</f>
        <v>-0.225305617166142</v>
      </c>
      <c r="H52" s="21" t="n">
        <f aca="true">IF(COUNTIFS($B$2:B52,B52)&gt;=20,AVERAGE(OFFSET(C52,-19,0,20,1)),"")</f>
        <v>157.625</v>
      </c>
      <c r="I52" s="21" t="n">
        <f aca="true">IF(COUNTIFS($B$2:B52,B52)&gt;=50,AVERAGE(OFFSET(C52,-49,0,50,1)),"")</f>
        <v>170.0212</v>
      </c>
    </row>
    <row r="53" customFormat="false" ht="15" hidden="false" customHeight="false" outlineLevel="0" collapsed="false">
      <c r="A53" s="17" t="n">
        <f aca="false">Cours_Bruts!A53</f>
        <v>45790</v>
      </c>
      <c r="B53" s="18" t="str">
        <f aca="false">Cours_Bruts!B53</f>
        <v>AAPL</v>
      </c>
      <c r="C53" s="19" t="n">
        <f aca="false">Cours_Bruts!C53</f>
        <v>149.25</v>
      </c>
      <c r="D53" s="20" t="n">
        <f aca="false">IF(B53=B52,(C53-C52)/C52,"")</f>
        <v>-0.00625873893068778</v>
      </c>
      <c r="E53" s="20" t="n">
        <f aca="false">IF(B53=B52,(1+E52)*(1+IF(D53="",0,D53))-1,0)</f>
        <v>-0.170833333333333</v>
      </c>
      <c r="F53" s="21" t="n">
        <f aca="false">IF(B53=B52,MAX(F52,C53),C53)</f>
        <v>193.87</v>
      </c>
      <c r="G53" s="20" t="n">
        <f aca="false">(C53-F53)/F53</f>
        <v>-0.23015422705937</v>
      </c>
      <c r="H53" s="21" t="n">
        <f aca="true">IF(COUNTIFS($B$2:B53,B53)&gt;=20,AVERAGE(OFFSET(C53,-19,0,20,1)),"")</f>
        <v>156.724</v>
      </c>
      <c r="I53" s="21" t="n">
        <f aca="true">IF(COUNTIFS($B$2:B53,B53)&gt;=50,AVERAGE(OFFSET(C53,-49,0,50,1)),"")</f>
        <v>169.413</v>
      </c>
    </row>
    <row r="54" customFormat="false" ht="15" hidden="false" customHeight="false" outlineLevel="0" collapsed="false">
      <c r="A54" s="17" t="n">
        <f aca="false">Cours_Bruts!A54</f>
        <v>45791</v>
      </c>
      <c r="B54" s="18" t="str">
        <f aca="false">Cours_Bruts!B54</f>
        <v>AAPL</v>
      </c>
      <c r="C54" s="19" t="n">
        <f aca="false">Cours_Bruts!C54</f>
        <v>147.55</v>
      </c>
      <c r="D54" s="20" t="n">
        <f aca="false">IF(B54=B53,(C54-C53)/C53,"")</f>
        <v>-0.0113902847571189</v>
      </c>
      <c r="E54" s="20" t="n">
        <f aca="false">IF(B54=B53,(1+E53)*(1+IF(D54="",0,D54))-1,0)</f>
        <v>-0.180277777777777</v>
      </c>
      <c r="F54" s="21" t="n">
        <f aca="false">IF(B54=B53,MAX(F53,C54),C54)</f>
        <v>193.87</v>
      </c>
      <c r="G54" s="20" t="n">
        <f aca="false">(C54-F54)/F54</f>
        <v>-0.238922989632228</v>
      </c>
      <c r="H54" s="21" t="n">
        <f aca="true">IF(COUNTIFS($B$2:B54,B54)&gt;=20,AVERAGE(OFFSET(C54,-19,0,20,1)),"")</f>
        <v>155.7355</v>
      </c>
      <c r="I54" s="21" t="n">
        <f aca="true">IF(COUNTIFS($B$2:B54,B54)&gt;=50,AVERAGE(OFFSET(C54,-49,0,50,1)),"")</f>
        <v>168.7278</v>
      </c>
    </row>
    <row r="55" customFormat="false" ht="15" hidden="false" customHeight="false" outlineLevel="0" collapsed="false">
      <c r="A55" s="17" t="n">
        <f aca="false">Cours_Bruts!A55</f>
        <v>45792</v>
      </c>
      <c r="B55" s="18" t="str">
        <f aca="false">Cours_Bruts!B55</f>
        <v>AAPL</v>
      </c>
      <c r="C55" s="19" t="n">
        <f aca="false">Cours_Bruts!C55</f>
        <v>149.23</v>
      </c>
      <c r="D55" s="20" t="n">
        <f aca="false">IF(B55=B54,(C55-C54)/C54,"")</f>
        <v>0.0113859708573363</v>
      </c>
      <c r="E55" s="20" t="n">
        <f aca="false">IF(B55=B54,(1+E54)*(1+IF(D55="",0,D55))-1,0)</f>
        <v>-0.170944444444444</v>
      </c>
      <c r="F55" s="21" t="n">
        <f aca="false">IF(B55=B54,MAX(F54,C55),C55)</f>
        <v>193.87</v>
      </c>
      <c r="G55" s="20" t="n">
        <f aca="false">(C55-F55)/F55</f>
        <v>-0.230257388971992</v>
      </c>
      <c r="H55" s="21" t="n">
        <f aca="true">IF(COUNTIFS($B$2:B55,B55)&gt;=20,AVERAGE(OFFSET(C55,-19,0,20,1)),"")</f>
        <v>154.9825</v>
      </c>
      <c r="I55" s="21" t="n">
        <f aca="true">IF(COUNTIFS($B$2:B55,B55)&gt;=50,AVERAGE(OFFSET(C55,-49,0,50,1)),"")</f>
        <v>167.9764</v>
      </c>
    </row>
    <row r="56" customFormat="false" ht="15" hidden="false" customHeight="false" outlineLevel="0" collapsed="false">
      <c r="A56" s="17" t="n">
        <f aca="false">Cours_Bruts!A56</f>
        <v>45793</v>
      </c>
      <c r="B56" s="18" t="str">
        <f aca="false">Cours_Bruts!B56</f>
        <v>AAPL</v>
      </c>
      <c r="C56" s="19" t="n">
        <f aca="false">Cours_Bruts!C56</f>
        <v>152.02</v>
      </c>
      <c r="D56" s="20" t="n">
        <f aca="false">IF(B56=B55,(C56-C55)/C55,"")</f>
        <v>0.018695972659653</v>
      </c>
      <c r="E56" s="20" t="n">
        <f aca="false">IF(B56=B55,(1+E55)*(1+IF(D56="",0,D56))-1,0)</f>
        <v>-0.155444444444444</v>
      </c>
      <c r="F56" s="21" t="n">
        <f aca="false">IF(B56=B55,MAX(F55,C56),C56)</f>
        <v>193.87</v>
      </c>
      <c r="G56" s="20" t="n">
        <f aca="false">(C56-F56)/F56</f>
        <v>-0.215866302161242</v>
      </c>
      <c r="H56" s="21" t="n">
        <f aca="true">IF(COUNTIFS($B$2:B56,B56)&gt;=20,AVERAGE(OFFSET(C56,-19,0,20,1)),"")</f>
        <v>154.245</v>
      </c>
      <c r="I56" s="21" t="n">
        <f aca="true">IF(COUNTIFS($B$2:B56,B56)&gt;=50,AVERAGE(OFFSET(C56,-49,0,50,1)),"")</f>
        <v>167.2942</v>
      </c>
    </row>
    <row r="57" customFormat="false" ht="15" hidden="false" customHeight="false" outlineLevel="0" collapsed="false">
      <c r="A57" s="17" t="n">
        <f aca="false">Cours_Bruts!A57</f>
        <v>45796</v>
      </c>
      <c r="B57" s="18" t="str">
        <f aca="false">Cours_Bruts!B57</f>
        <v>AAPL</v>
      </c>
      <c r="C57" s="19" t="n">
        <f aca="false">Cours_Bruts!C57</f>
        <v>154.6</v>
      </c>
      <c r="D57" s="20" t="n">
        <f aca="false">IF(B57=B56,(C57-C56)/C56,"")</f>
        <v>0.0169714511248519</v>
      </c>
      <c r="E57" s="20" t="n">
        <f aca="false">IF(B57=B56,(1+E56)*(1+IF(D57="",0,D57))-1,0)</f>
        <v>-0.141111111111111</v>
      </c>
      <c r="F57" s="21" t="n">
        <f aca="false">IF(B57=B56,MAX(F56,C57),C57)</f>
        <v>193.87</v>
      </c>
      <c r="G57" s="20" t="n">
        <f aca="false">(C57-F57)/F57</f>
        <v>-0.202558415433022</v>
      </c>
      <c r="H57" s="21" t="n">
        <f aca="true">IF(COUNTIFS($B$2:B57,B57)&gt;=20,AVERAGE(OFFSET(C57,-19,0,20,1)),"")</f>
        <v>153.8115</v>
      </c>
      <c r="I57" s="21" t="n">
        <f aca="true">IF(COUNTIFS($B$2:B57,B57)&gt;=50,AVERAGE(OFFSET(C57,-49,0,50,1)),"")</f>
        <v>166.6768</v>
      </c>
    </row>
    <row r="58" customFormat="false" ht="15" hidden="false" customHeight="false" outlineLevel="0" collapsed="false">
      <c r="A58" s="17" t="n">
        <f aca="false">Cours_Bruts!A58</f>
        <v>45797</v>
      </c>
      <c r="B58" s="18" t="str">
        <f aca="false">Cours_Bruts!B58</f>
        <v>AAPL</v>
      </c>
      <c r="C58" s="19" t="n">
        <f aca="false">Cours_Bruts!C58</f>
        <v>152.4</v>
      </c>
      <c r="D58" s="20" t="n">
        <f aca="false">IF(B58=B57,(C58-C57)/C57,"")</f>
        <v>-0.0142302716688227</v>
      </c>
      <c r="E58" s="20" t="n">
        <f aca="false">IF(B58=B57,(1+E57)*(1+IF(D58="",0,D58))-1,0)</f>
        <v>-0.153333333333333</v>
      </c>
      <c r="F58" s="21" t="n">
        <f aca="false">IF(B58=B57,MAX(F57,C58),C58)</f>
        <v>193.87</v>
      </c>
      <c r="G58" s="20" t="n">
        <f aca="false">(C58-F58)/F58</f>
        <v>-0.213906225821427</v>
      </c>
      <c r="H58" s="21" t="n">
        <f aca="true">IF(COUNTIFS($B$2:B58,B58)&gt;=20,AVERAGE(OFFSET(C58,-19,0,20,1)),"")</f>
        <v>153.2335</v>
      </c>
      <c r="I58" s="21" t="n">
        <f aca="true">IF(COUNTIFS($B$2:B58,B58)&gt;=50,AVERAGE(OFFSET(C58,-49,0,50,1)),"")</f>
        <v>165.9102</v>
      </c>
    </row>
    <row r="59" customFormat="false" ht="15" hidden="false" customHeight="false" outlineLevel="0" collapsed="false">
      <c r="A59" s="17" t="n">
        <f aca="false">Cours_Bruts!A59</f>
        <v>45798</v>
      </c>
      <c r="B59" s="18" t="str">
        <f aca="false">Cours_Bruts!B59</f>
        <v>AAPL</v>
      </c>
      <c r="C59" s="19" t="n">
        <f aca="false">Cours_Bruts!C59</f>
        <v>151.66</v>
      </c>
      <c r="D59" s="20" t="n">
        <f aca="false">IF(B59=B58,(C59-C58)/C58,"")</f>
        <v>-0.00485564304461948</v>
      </c>
      <c r="E59" s="20" t="n">
        <f aca="false">IF(B59=B58,(1+E58)*(1+IF(D59="",0,D59))-1,0)</f>
        <v>-0.157444444444444</v>
      </c>
      <c r="F59" s="21" t="n">
        <f aca="false">IF(B59=B58,MAX(F58,C59),C59)</f>
        <v>193.87</v>
      </c>
      <c r="G59" s="20" t="n">
        <f aca="false">(C59-F59)/F59</f>
        <v>-0.217723216588436</v>
      </c>
      <c r="H59" s="21" t="n">
        <f aca="true">IF(COUNTIFS($B$2:B59,B59)&gt;=20,AVERAGE(OFFSET(C59,-19,0,20,1)),"")</f>
        <v>152.8975</v>
      </c>
      <c r="I59" s="21" t="n">
        <f aca="true">IF(COUNTIFS($B$2:B59,B59)&gt;=50,AVERAGE(OFFSET(C59,-49,0,50,1)),"")</f>
        <v>165.075</v>
      </c>
    </row>
    <row r="60" customFormat="false" ht="15" hidden="false" customHeight="false" outlineLevel="0" collapsed="false">
      <c r="A60" s="17" t="n">
        <f aca="false">Cours_Bruts!A60</f>
        <v>45799</v>
      </c>
      <c r="B60" s="18" t="str">
        <f aca="false">Cours_Bruts!B60</f>
        <v>AAPL</v>
      </c>
      <c r="C60" s="19" t="n">
        <f aca="false">Cours_Bruts!C60</f>
        <v>152.63</v>
      </c>
      <c r="D60" s="20" t="n">
        <f aca="false">IF(B60=B59,(C60-C59)/C59,"")</f>
        <v>0.00639588553343003</v>
      </c>
      <c r="E60" s="20" t="n">
        <f aca="false">IF(B60=B59,(1+E59)*(1+IF(D60="",0,D60))-1,0)</f>
        <v>-0.152055555555555</v>
      </c>
      <c r="F60" s="21" t="n">
        <f aca="false">IF(B60=B59,MAX(F59,C60),C60)</f>
        <v>193.87</v>
      </c>
      <c r="G60" s="20" t="n">
        <f aca="false">(C60-F60)/F60</f>
        <v>-0.212719863826275</v>
      </c>
      <c r="H60" s="21" t="n">
        <f aca="true">IF(COUNTIFS($B$2:B60,B60)&gt;=20,AVERAGE(OFFSET(C60,-19,0,20,1)),"")</f>
        <v>152.791</v>
      </c>
      <c r="I60" s="21" t="n">
        <f aca="true">IF(COUNTIFS($B$2:B60,B60)&gt;=50,AVERAGE(OFFSET(C60,-49,0,50,1)),"")</f>
        <v>164.289</v>
      </c>
    </row>
    <row r="61" customFormat="false" ht="15" hidden="false" customHeight="false" outlineLevel="0" collapsed="false">
      <c r="A61" s="17" t="n">
        <f aca="false">Cours_Bruts!A61</f>
        <v>45800</v>
      </c>
      <c r="B61" s="18" t="str">
        <f aca="false">Cours_Bruts!B61</f>
        <v>AAPL</v>
      </c>
      <c r="C61" s="19" t="n">
        <f aca="false">Cours_Bruts!C61</f>
        <v>155.34</v>
      </c>
      <c r="D61" s="20" t="n">
        <f aca="false">IF(B61=B60,(C61-C60)/C60,"")</f>
        <v>0.0177553560898906</v>
      </c>
      <c r="E61" s="20" t="n">
        <f aca="false">IF(B61=B60,(1+E60)*(1+IF(D61="",0,D61))-1,0)</f>
        <v>-0.137</v>
      </c>
      <c r="F61" s="21" t="n">
        <f aca="false">IF(B61=B60,MAX(F60,C61),C61)</f>
        <v>193.87</v>
      </c>
      <c r="G61" s="20" t="n">
        <f aca="false">(C61-F61)/F61</f>
        <v>-0.198741424666013</v>
      </c>
      <c r="H61" s="21" t="n">
        <f aca="true">IF(COUNTIFS($B$2:B61,B61)&gt;=20,AVERAGE(OFFSET(C61,-19,0,20,1)),"")</f>
        <v>152.789</v>
      </c>
      <c r="I61" s="21" t="n">
        <f aca="true">IF(COUNTIFS($B$2:B61,B61)&gt;=50,AVERAGE(OFFSET(C61,-49,0,50,1)),"")</f>
        <v>163.5184</v>
      </c>
    </row>
    <row r="62" customFormat="false" ht="15" hidden="false" customHeight="false" outlineLevel="0" collapsed="false">
      <c r="A62" s="17" t="n">
        <f aca="false">Cours_Bruts!A62</f>
        <v>45803</v>
      </c>
      <c r="B62" s="18" t="str">
        <f aca="false">Cours_Bruts!B62</f>
        <v>AAPL</v>
      </c>
      <c r="C62" s="19" t="n">
        <f aca="false">Cours_Bruts!C62</f>
        <v>154.11</v>
      </c>
      <c r="D62" s="20" t="n">
        <f aca="false">IF(B62=B61,(C62-C61)/C61,"")</f>
        <v>-0.00791811510235606</v>
      </c>
      <c r="E62" s="20" t="n">
        <f aca="false">IF(B62=B61,(1+E61)*(1+IF(D62="",0,D62))-1,0)</f>
        <v>-0.143833333333333</v>
      </c>
      <c r="F62" s="21" t="n">
        <f aca="false">IF(B62=B61,MAX(F61,C62),C62)</f>
        <v>193.87</v>
      </c>
      <c r="G62" s="20" t="n">
        <f aca="false">(C62-F62)/F62</f>
        <v>-0.205085882292258</v>
      </c>
      <c r="H62" s="21" t="n">
        <f aca="true">IF(COUNTIFS($B$2:B62,B62)&gt;=20,AVERAGE(OFFSET(C62,-19,0,20,1)),"")</f>
        <v>152.62</v>
      </c>
      <c r="I62" s="21" t="n">
        <f aca="true">IF(COUNTIFS($B$2:B62,B62)&gt;=50,AVERAGE(OFFSET(C62,-49,0,50,1)),"")</f>
        <v>162.7528</v>
      </c>
    </row>
    <row r="63" customFormat="false" ht="15" hidden="false" customHeight="false" outlineLevel="0" collapsed="false">
      <c r="A63" s="17" t="n">
        <f aca="false">Cours_Bruts!A63</f>
        <v>45804</v>
      </c>
      <c r="B63" s="18" t="str">
        <f aca="false">Cours_Bruts!B63</f>
        <v>AAPL</v>
      </c>
      <c r="C63" s="19" t="n">
        <f aca="false">Cours_Bruts!C63</f>
        <v>153.69</v>
      </c>
      <c r="D63" s="20" t="n">
        <f aca="false">IF(B63=B62,(C63-C62)/C62,"")</f>
        <v>-0.00272532606579726</v>
      </c>
      <c r="E63" s="20" t="n">
        <f aca="false">IF(B63=B62,(1+E62)*(1+IF(D63="",0,D63))-1,0)</f>
        <v>-0.146166666666666</v>
      </c>
      <c r="F63" s="21" t="n">
        <f aca="false">IF(B63=B62,MAX(F62,C63),C63)</f>
        <v>193.87</v>
      </c>
      <c r="G63" s="20" t="n">
        <f aca="false">(C63-F63)/F63</f>
        <v>-0.207252282457317</v>
      </c>
      <c r="H63" s="21" t="n">
        <f aca="true">IF(COUNTIFS($B$2:B63,B63)&gt;=20,AVERAGE(OFFSET(C63,-19,0,20,1)),"")</f>
        <v>152.4015</v>
      </c>
      <c r="I63" s="21" t="n">
        <f aca="true">IF(COUNTIFS($B$2:B63,B63)&gt;=50,AVERAGE(OFFSET(C63,-49,0,50,1)),"")</f>
        <v>162.0082</v>
      </c>
    </row>
    <row r="64" customFormat="false" ht="15" hidden="false" customHeight="false" outlineLevel="0" collapsed="false">
      <c r="A64" s="17" t="n">
        <f aca="false">Cours_Bruts!A64</f>
        <v>45805</v>
      </c>
      <c r="B64" s="18" t="str">
        <f aca="false">Cours_Bruts!B64</f>
        <v>AAPL</v>
      </c>
      <c r="C64" s="19" t="n">
        <f aca="false">Cours_Bruts!C64</f>
        <v>150.78</v>
      </c>
      <c r="D64" s="20" t="n">
        <f aca="false">IF(B64=B63,(C64-C63)/C63,"")</f>
        <v>-0.018934218231505</v>
      </c>
      <c r="E64" s="20" t="n">
        <f aca="false">IF(B64=B63,(1+E63)*(1+IF(D64="",0,D64))-1,0)</f>
        <v>-0.162333333333333</v>
      </c>
      <c r="F64" s="21" t="n">
        <f aca="false">IF(B64=B63,MAX(F63,C64),C64)</f>
        <v>193.87</v>
      </c>
      <c r="G64" s="20" t="n">
        <f aca="false">(C64-F64)/F64</f>
        <v>-0.222262340743797</v>
      </c>
      <c r="H64" s="21" t="n">
        <f aca="true">IF(COUNTIFS($B$2:B64,B64)&gt;=20,AVERAGE(OFFSET(C64,-19,0,20,1)),"")</f>
        <v>152.0495</v>
      </c>
      <c r="I64" s="21" t="n">
        <f aca="true">IF(COUNTIFS($B$2:B64,B64)&gt;=50,AVERAGE(OFFSET(C64,-49,0,50,1)),"")</f>
        <v>161.187</v>
      </c>
    </row>
    <row r="65" customFormat="false" ht="15" hidden="false" customHeight="false" outlineLevel="0" collapsed="false">
      <c r="A65" s="17" t="n">
        <f aca="false">Cours_Bruts!A65</f>
        <v>45806</v>
      </c>
      <c r="B65" s="18" t="str">
        <f aca="false">Cours_Bruts!B65</f>
        <v>AAPL</v>
      </c>
      <c r="C65" s="19" t="n">
        <f aca="false">Cours_Bruts!C65</f>
        <v>147.68</v>
      </c>
      <c r="D65" s="20" t="n">
        <f aca="false">IF(B65=B64,(C65-C64)/C64,"")</f>
        <v>-0.0205597559358005</v>
      </c>
      <c r="E65" s="20" t="n">
        <f aca="false">IF(B65=B64,(1+E64)*(1+IF(D65="",0,D65))-1,0)</f>
        <v>-0.179555555555555</v>
      </c>
      <c r="F65" s="21" t="n">
        <f aca="false">IF(B65=B64,MAX(F64,C65),C65)</f>
        <v>193.87</v>
      </c>
      <c r="G65" s="20" t="n">
        <f aca="false">(C65-F65)/F65</f>
        <v>-0.238252437200186</v>
      </c>
      <c r="H65" s="21" t="n">
        <f aca="true">IF(COUNTIFS($B$2:B65,B65)&gt;=20,AVERAGE(OFFSET(C65,-19,0,20,1)),"")</f>
        <v>151.58</v>
      </c>
      <c r="I65" s="21" t="n">
        <f aca="true">IF(COUNTIFS($B$2:B65,B65)&gt;=50,AVERAGE(OFFSET(C65,-49,0,50,1)),"")</f>
        <v>160.4312</v>
      </c>
    </row>
    <row r="66" customFormat="false" ht="15" hidden="false" customHeight="false" outlineLevel="0" collapsed="false">
      <c r="A66" s="17" t="n">
        <f aca="false">Cours_Bruts!A66</f>
        <v>45807</v>
      </c>
      <c r="B66" s="18" t="str">
        <f aca="false">Cours_Bruts!B66</f>
        <v>AAPL</v>
      </c>
      <c r="C66" s="19" t="n">
        <f aca="false">Cours_Bruts!C66</f>
        <v>149.88</v>
      </c>
      <c r="D66" s="20" t="n">
        <f aca="false">IF(B66=B65,(C66-C65)/C65,"")</f>
        <v>0.0148970747562296</v>
      </c>
      <c r="E66" s="20" t="n">
        <f aca="false">IF(B66=B65,(1+E65)*(1+IF(D66="",0,D66))-1,0)</f>
        <v>-0.167333333333333</v>
      </c>
      <c r="F66" s="21" t="n">
        <f aca="false">IF(B66=B65,MAX(F65,C66),C66)</f>
        <v>193.87</v>
      </c>
      <c r="G66" s="20" t="n">
        <f aca="false">(C66-F66)/F66</f>
        <v>-0.226904626811781</v>
      </c>
      <c r="H66" s="21" t="n">
        <f aca="true">IF(COUNTIFS($B$2:B66,B66)&gt;=20,AVERAGE(OFFSET(C66,-19,0,20,1)),"")</f>
        <v>151.421</v>
      </c>
      <c r="I66" s="21" t="n">
        <f aca="true">IF(COUNTIFS($B$2:B66,B66)&gt;=50,AVERAGE(OFFSET(C66,-49,0,50,1)),"")</f>
        <v>159.8302</v>
      </c>
    </row>
    <row r="67" customFormat="false" ht="15" hidden="false" customHeight="false" outlineLevel="0" collapsed="false">
      <c r="A67" s="17" t="n">
        <f aca="false">Cours_Bruts!A67</f>
        <v>45810</v>
      </c>
      <c r="B67" s="18" t="str">
        <f aca="false">Cours_Bruts!B67</f>
        <v>AAPL</v>
      </c>
      <c r="C67" s="19" t="n">
        <f aca="false">Cours_Bruts!C67</f>
        <v>153.55</v>
      </c>
      <c r="D67" s="20" t="n">
        <f aca="false">IF(B67=B66,(C67-C66)/C66,"")</f>
        <v>0.0244862556712037</v>
      </c>
      <c r="E67" s="20" t="n">
        <f aca="false">IF(B67=B66,(1+E66)*(1+IF(D67="",0,D67))-1,0)</f>
        <v>-0.146944444444444</v>
      </c>
      <c r="F67" s="21" t="n">
        <f aca="false">IF(B67=B66,MAX(F66,C67),C67)</f>
        <v>193.87</v>
      </c>
      <c r="G67" s="20" t="n">
        <f aca="false">(C67-F67)/F67</f>
        <v>-0.20797441584567</v>
      </c>
      <c r="H67" s="21" t="n">
        <f aca="true">IF(COUNTIFS($B$2:B67,B67)&gt;=20,AVERAGE(OFFSET(C67,-19,0,20,1)),"")</f>
        <v>151.538</v>
      </c>
      <c r="I67" s="21" t="n">
        <f aca="true">IF(COUNTIFS($B$2:B67,B67)&gt;=50,AVERAGE(OFFSET(C67,-49,0,50,1)),"")</f>
        <v>159.3362</v>
      </c>
    </row>
    <row r="68" customFormat="false" ht="15" hidden="false" customHeight="false" outlineLevel="0" collapsed="false">
      <c r="A68" s="17" t="n">
        <f aca="false">Cours_Bruts!A68</f>
        <v>45811</v>
      </c>
      <c r="B68" s="18" t="str">
        <f aca="false">Cours_Bruts!B68</f>
        <v>AAPL</v>
      </c>
      <c r="C68" s="19" t="n">
        <f aca="false">Cours_Bruts!C68</f>
        <v>153.44</v>
      </c>
      <c r="D68" s="20" t="n">
        <f aca="false">IF(B68=B67,(C68-C67)/C67,"")</f>
        <v>-0.000716379029632131</v>
      </c>
      <c r="E68" s="20" t="n">
        <f aca="false">IF(B68=B67,(1+E67)*(1+IF(D68="",0,D68))-1,0)</f>
        <v>-0.147555555555555</v>
      </c>
      <c r="F68" s="21" t="n">
        <f aca="false">IF(B68=B67,MAX(F67,C68),C68)</f>
        <v>193.87</v>
      </c>
      <c r="G68" s="20" t="n">
        <f aca="false">(C68-F68)/F68</f>
        <v>-0.20854180636509</v>
      </c>
      <c r="H68" s="21" t="n">
        <f aca="true">IF(COUNTIFS($B$2:B68,B68)&gt;=20,AVERAGE(OFFSET(C68,-19,0,20,1)),"")</f>
        <v>151.707</v>
      </c>
      <c r="I68" s="21" t="n">
        <f aca="true">IF(COUNTIFS($B$2:B68,B68)&gt;=50,AVERAGE(OFFSET(C68,-49,0,50,1)),"")</f>
        <v>158.9018</v>
      </c>
    </row>
    <row r="69" customFormat="false" ht="15" hidden="false" customHeight="false" outlineLevel="0" collapsed="false">
      <c r="A69" s="17" t="n">
        <f aca="false">Cours_Bruts!A69</f>
        <v>45812</v>
      </c>
      <c r="B69" s="18" t="str">
        <f aca="false">Cours_Bruts!B69</f>
        <v>AAPL</v>
      </c>
      <c r="C69" s="19" t="n">
        <f aca="false">Cours_Bruts!C69</f>
        <v>156.24</v>
      </c>
      <c r="D69" s="20" t="n">
        <f aca="false">IF(B69=B68,(C69-C68)/C68,"")</f>
        <v>0.0182481751824818</v>
      </c>
      <c r="E69" s="20" t="n">
        <f aca="false">IF(B69=B68,(1+E68)*(1+IF(D69="",0,D69))-1,0)</f>
        <v>-0.132</v>
      </c>
      <c r="F69" s="21" t="n">
        <f aca="false">IF(B69=B68,MAX(F68,C69),C69)</f>
        <v>193.87</v>
      </c>
      <c r="G69" s="20" t="n">
        <f aca="false">(C69-F69)/F69</f>
        <v>-0.19409913859803</v>
      </c>
      <c r="H69" s="21" t="n">
        <f aca="true">IF(COUNTIFS($B$2:B69,B69)&gt;=20,AVERAGE(OFFSET(C69,-19,0,20,1)),"")</f>
        <v>151.872</v>
      </c>
      <c r="I69" s="21" t="n">
        <f aca="true">IF(COUNTIFS($B$2:B69,B69)&gt;=50,AVERAGE(OFFSET(C69,-49,0,50,1)),"")</f>
        <v>158.502</v>
      </c>
    </row>
    <row r="70" customFormat="false" ht="15" hidden="false" customHeight="false" outlineLevel="0" collapsed="false">
      <c r="A70" s="17" t="n">
        <f aca="false">Cours_Bruts!A70</f>
        <v>45813</v>
      </c>
      <c r="B70" s="18" t="str">
        <f aca="false">Cours_Bruts!B70</f>
        <v>AAPL</v>
      </c>
      <c r="C70" s="19" t="n">
        <f aca="false">Cours_Bruts!C70</f>
        <v>157.32</v>
      </c>
      <c r="D70" s="20" t="n">
        <f aca="false">IF(B70=B69,(C70-C69)/C69,"")</f>
        <v>0.00691244239631326</v>
      </c>
      <c r="E70" s="20" t="n">
        <f aca="false">IF(B70=B69,(1+E69)*(1+IF(D70="",0,D70))-1,0)</f>
        <v>-0.126</v>
      </c>
      <c r="F70" s="21" t="n">
        <f aca="false">IF(B70=B69,MAX(F69,C70),C70)</f>
        <v>193.87</v>
      </c>
      <c r="G70" s="20" t="n">
        <f aca="false">(C70-F70)/F70</f>
        <v>-0.188528395316449</v>
      </c>
      <c r="H70" s="21" t="n">
        <f aca="true">IF(COUNTIFS($B$2:B70,B70)&gt;=20,AVERAGE(OFFSET(C70,-19,0,20,1)),"")</f>
        <v>152.0405</v>
      </c>
      <c r="I70" s="21" t="n">
        <f aca="true">IF(COUNTIFS($B$2:B70,B70)&gt;=50,AVERAGE(OFFSET(C70,-49,0,50,1)),"")</f>
        <v>158.1782</v>
      </c>
    </row>
    <row r="71" customFormat="false" ht="15" hidden="false" customHeight="false" outlineLevel="0" collapsed="false">
      <c r="A71" s="17" t="n">
        <f aca="false">Cours_Bruts!A71</f>
        <v>45814</v>
      </c>
      <c r="B71" s="18" t="str">
        <f aca="false">Cours_Bruts!B71</f>
        <v>AAPL</v>
      </c>
      <c r="C71" s="19" t="n">
        <f aca="false">Cours_Bruts!C71</f>
        <v>155.62</v>
      </c>
      <c r="D71" s="20" t="n">
        <f aca="false">IF(B71=B70,(C71-C70)/C70,"")</f>
        <v>-0.0108060005085176</v>
      </c>
      <c r="E71" s="20" t="n">
        <f aca="false">IF(B71=B70,(1+E70)*(1+IF(D71="",0,D71))-1,0)</f>
        <v>-0.135444444444444</v>
      </c>
      <c r="F71" s="21" t="n">
        <f aca="false">IF(B71=B70,MAX(F70,C71),C71)</f>
        <v>193.87</v>
      </c>
      <c r="G71" s="20" t="n">
        <f aca="false">(C71-F71)/F71</f>
        <v>-0.197297157889307</v>
      </c>
      <c r="H71" s="21" t="n">
        <f aca="true">IF(COUNTIFS($B$2:B71,B71)&gt;=20,AVERAGE(OFFSET(C71,-19,0,20,1)),"")</f>
        <v>152.359</v>
      </c>
      <c r="I71" s="21" t="n">
        <f aca="true">IF(COUNTIFS($B$2:B71,B71)&gt;=50,AVERAGE(OFFSET(C71,-49,0,50,1)),"")</f>
        <v>157.905</v>
      </c>
    </row>
    <row r="72" customFormat="false" ht="15" hidden="false" customHeight="false" outlineLevel="0" collapsed="false">
      <c r="A72" s="17" t="n">
        <f aca="false">Cours_Bruts!A72</f>
        <v>45817</v>
      </c>
      <c r="B72" s="18" t="str">
        <f aca="false">Cours_Bruts!B72</f>
        <v>AAPL</v>
      </c>
      <c r="C72" s="19" t="n">
        <f aca="false">Cours_Bruts!C72</f>
        <v>156.7</v>
      </c>
      <c r="D72" s="20" t="n">
        <f aca="false">IF(B72=B71,(C72-C71)/C71,"")</f>
        <v>0.00693998200745395</v>
      </c>
      <c r="E72" s="20" t="n">
        <f aca="false">IF(B72=B71,(1+E71)*(1+IF(D72="",0,D72))-1,0)</f>
        <v>-0.129444444444444</v>
      </c>
      <c r="F72" s="21" t="n">
        <f aca="false">IF(B72=B71,MAX(F71,C72),C72)</f>
        <v>193.87</v>
      </c>
      <c r="G72" s="20" t="n">
        <f aca="false">(C72-F72)/F72</f>
        <v>-0.191726414607727</v>
      </c>
      <c r="H72" s="21" t="n">
        <f aca="true">IF(COUNTIFS($B$2:B72,B72)&gt;=20,AVERAGE(OFFSET(C72,-19,0,20,1)),"")</f>
        <v>152.6845</v>
      </c>
      <c r="I72" s="21" t="n">
        <f aca="true">IF(COUNTIFS($B$2:B72,B72)&gt;=50,AVERAGE(OFFSET(C72,-49,0,50,1)),"")</f>
        <v>157.564</v>
      </c>
    </row>
    <row r="73" customFormat="false" ht="15" hidden="false" customHeight="false" outlineLevel="0" collapsed="false">
      <c r="A73" s="17" t="n">
        <f aca="false">Cours_Bruts!A73</f>
        <v>45818</v>
      </c>
      <c r="B73" s="18" t="str">
        <f aca="false">Cours_Bruts!B73</f>
        <v>AAPL</v>
      </c>
      <c r="C73" s="19" t="n">
        <f aca="false">Cours_Bruts!C73</f>
        <v>161.04</v>
      </c>
      <c r="D73" s="20" t="n">
        <f aca="false">IF(B73=B72,(C73-C72)/C72,"")</f>
        <v>0.0276962348436503</v>
      </c>
      <c r="E73" s="20" t="n">
        <f aca="false">IF(B73=B72,(1+E72)*(1+IF(D73="",0,D73))-1,0)</f>
        <v>-0.105333333333333</v>
      </c>
      <c r="F73" s="21" t="n">
        <f aca="false">IF(B73=B72,MAX(F72,C73),C73)</f>
        <v>193.87</v>
      </c>
      <c r="G73" s="20" t="n">
        <f aca="false">(C73-F73)/F73</f>
        <v>-0.169340279568783</v>
      </c>
      <c r="H73" s="21" t="n">
        <f aca="true">IF(COUNTIFS($B$2:B73,B73)&gt;=20,AVERAGE(OFFSET(C73,-19,0,20,1)),"")</f>
        <v>153.274</v>
      </c>
      <c r="I73" s="21" t="n">
        <f aca="true">IF(COUNTIFS($B$2:B73,B73)&gt;=50,AVERAGE(OFFSET(C73,-49,0,50,1)),"")</f>
        <v>157.3216</v>
      </c>
    </row>
    <row r="74" customFormat="false" ht="15" hidden="false" customHeight="false" outlineLevel="0" collapsed="false">
      <c r="A74" s="17" t="n">
        <f aca="false">Cours_Bruts!A74</f>
        <v>45819</v>
      </c>
      <c r="B74" s="18" t="str">
        <f aca="false">Cours_Bruts!B74</f>
        <v>AAPL</v>
      </c>
      <c r="C74" s="19" t="n">
        <f aca="false">Cours_Bruts!C74</f>
        <v>161.02</v>
      </c>
      <c r="D74" s="20" t="n">
        <f aca="false">IF(B74=B73,(C74-C73)/C73,"")</f>
        <v>-0.000124192747143454</v>
      </c>
      <c r="E74" s="20" t="n">
        <f aca="false">IF(B74=B73,(1+E73)*(1+IF(D74="",0,D74))-1,0)</f>
        <v>-0.105444444444444</v>
      </c>
      <c r="F74" s="21" t="n">
        <f aca="false">IF(B74=B73,MAX(F73,C74),C74)</f>
        <v>193.87</v>
      </c>
      <c r="G74" s="20" t="n">
        <f aca="false">(C74-F74)/F74</f>
        <v>-0.169443441481405</v>
      </c>
      <c r="H74" s="21" t="n">
        <f aca="true">IF(COUNTIFS($B$2:B74,B74)&gt;=20,AVERAGE(OFFSET(C74,-19,0,20,1)),"")</f>
        <v>153.9475</v>
      </c>
      <c r="I74" s="21" t="n">
        <f aca="true">IF(COUNTIFS($B$2:B74,B74)&gt;=50,AVERAGE(OFFSET(C74,-49,0,50,1)),"")</f>
        <v>157.0728</v>
      </c>
    </row>
    <row r="75" customFormat="false" ht="15" hidden="false" customHeight="false" outlineLevel="0" collapsed="false">
      <c r="A75" s="17" t="n">
        <f aca="false">Cours_Bruts!A75</f>
        <v>45820</v>
      </c>
      <c r="B75" s="18" t="str">
        <f aca="false">Cours_Bruts!B75</f>
        <v>AAPL</v>
      </c>
      <c r="C75" s="19" t="n">
        <f aca="false">Cours_Bruts!C75</f>
        <v>165.56</v>
      </c>
      <c r="D75" s="20" t="n">
        <f aca="false">IF(B75=B74,(C75-C74)/C74,"")</f>
        <v>0.0281952552477953</v>
      </c>
      <c r="E75" s="20" t="n">
        <f aca="false">IF(B75=B74,(1+E74)*(1+IF(D75="",0,D75))-1,0)</f>
        <v>-0.080222222222222</v>
      </c>
      <c r="F75" s="21" t="n">
        <f aca="false">IF(B75=B74,MAX(F74,C75),C75)</f>
        <v>193.87</v>
      </c>
      <c r="G75" s="20" t="n">
        <f aca="false">(C75-F75)/F75</f>
        <v>-0.146025687316243</v>
      </c>
      <c r="H75" s="21" t="n">
        <f aca="true">IF(COUNTIFS($B$2:B75,B75)&gt;=20,AVERAGE(OFFSET(C75,-19,0,20,1)),"")</f>
        <v>154.764</v>
      </c>
      <c r="I75" s="21" t="n">
        <f aca="true">IF(COUNTIFS($B$2:B75,B75)&gt;=50,AVERAGE(OFFSET(C75,-49,0,50,1)),"")</f>
        <v>157</v>
      </c>
    </row>
    <row r="76" customFormat="false" ht="15" hidden="false" customHeight="false" outlineLevel="0" collapsed="false">
      <c r="A76" s="17" t="n">
        <f aca="false">Cours_Bruts!A76</f>
        <v>45821</v>
      </c>
      <c r="B76" s="18" t="str">
        <f aca="false">Cours_Bruts!B76</f>
        <v>AAPL</v>
      </c>
      <c r="C76" s="19" t="n">
        <f aca="false">Cours_Bruts!C76</f>
        <v>158</v>
      </c>
      <c r="D76" s="20" t="n">
        <f aca="false">IF(B76=B75,(C76-C75)/C75,"")</f>
        <v>-0.0456632036723847</v>
      </c>
      <c r="E76" s="20" t="n">
        <f aca="false">IF(B76=B75,(1+E75)*(1+IF(D76="",0,D76))-1,0)</f>
        <v>-0.122222222222222</v>
      </c>
      <c r="F76" s="21" t="n">
        <f aca="false">IF(B76=B75,MAX(F75,C76),C76)</f>
        <v>193.87</v>
      </c>
      <c r="G76" s="20" t="n">
        <f aca="false">(C76-F76)/F76</f>
        <v>-0.185020890287306</v>
      </c>
      <c r="H76" s="21" t="n">
        <f aca="true">IF(COUNTIFS($B$2:B76,B76)&gt;=20,AVERAGE(OFFSET(C76,-19,0,20,1)),"")</f>
        <v>155.063</v>
      </c>
      <c r="I76" s="21" t="n">
        <f aca="true">IF(COUNTIFS($B$2:B76,B76)&gt;=50,AVERAGE(OFFSET(C76,-49,0,50,1)),"")</f>
        <v>156.8066</v>
      </c>
    </row>
    <row r="77" customFormat="false" ht="15" hidden="false" customHeight="false" outlineLevel="0" collapsed="false">
      <c r="A77" s="17" t="n">
        <f aca="false">Cours_Bruts!A77</f>
        <v>45824</v>
      </c>
      <c r="B77" s="18" t="str">
        <f aca="false">Cours_Bruts!B77</f>
        <v>AAPL</v>
      </c>
      <c r="C77" s="19" t="n">
        <f aca="false">Cours_Bruts!C77</f>
        <v>160.38</v>
      </c>
      <c r="D77" s="20" t="n">
        <f aca="false">IF(B77=B76,(C77-C76)/C76,"")</f>
        <v>0.0150632911392405</v>
      </c>
      <c r="E77" s="20" t="n">
        <f aca="false">IF(B77=B76,(1+E76)*(1+IF(D77="",0,D77))-1,0)</f>
        <v>-0.109</v>
      </c>
      <c r="F77" s="21" t="n">
        <f aca="false">IF(B77=B76,MAX(F76,C77),C77)</f>
        <v>193.87</v>
      </c>
      <c r="G77" s="20" t="n">
        <f aca="false">(C77-F77)/F77</f>
        <v>-0.172744622685305</v>
      </c>
      <c r="H77" s="21" t="n">
        <f aca="true">IF(COUNTIFS($B$2:B77,B77)&gt;=20,AVERAGE(OFFSET(C77,-19,0,20,1)),"")</f>
        <v>155.352</v>
      </c>
      <c r="I77" s="21" t="n">
        <f aca="true">IF(COUNTIFS($B$2:B77,B77)&gt;=50,AVERAGE(OFFSET(C77,-49,0,50,1)),"")</f>
        <v>156.6524</v>
      </c>
    </row>
    <row r="78" customFormat="false" ht="15" hidden="false" customHeight="false" outlineLevel="0" collapsed="false">
      <c r="A78" s="17" t="n">
        <f aca="false">Cours_Bruts!A78</f>
        <v>45825</v>
      </c>
      <c r="B78" s="18" t="str">
        <f aca="false">Cours_Bruts!B78</f>
        <v>AAPL</v>
      </c>
      <c r="C78" s="19" t="n">
        <f aca="false">Cours_Bruts!C78</f>
        <v>160.71</v>
      </c>
      <c r="D78" s="20" t="n">
        <f aca="false">IF(B78=B77,(C78-C77)/C77,"")</f>
        <v>0.00205761316872436</v>
      </c>
      <c r="E78" s="20" t="n">
        <f aca="false">IF(B78=B77,(1+E77)*(1+IF(D78="",0,D78))-1,0)</f>
        <v>-0.107166666666666</v>
      </c>
      <c r="F78" s="21" t="n">
        <f aca="false">IF(B78=B77,MAX(F77,C78),C78)</f>
        <v>193.87</v>
      </c>
      <c r="G78" s="20" t="n">
        <f aca="false">(C78-F78)/F78</f>
        <v>-0.171042451127044</v>
      </c>
      <c r="H78" s="21" t="n">
        <f aca="true">IF(COUNTIFS($B$2:B78,B78)&gt;=20,AVERAGE(OFFSET(C78,-19,0,20,1)),"")</f>
        <v>155.7675</v>
      </c>
      <c r="I78" s="21" t="n">
        <f aca="true">IF(COUNTIFS($B$2:B78,B78)&gt;=50,AVERAGE(OFFSET(C78,-49,0,50,1)),"")</f>
        <v>156.5712</v>
      </c>
    </row>
    <row r="79" customFormat="false" ht="15" hidden="false" customHeight="false" outlineLevel="0" collapsed="false">
      <c r="A79" s="17" t="n">
        <f aca="false">Cours_Bruts!A79</f>
        <v>45826</v>
      </c>
      <c r="B79" s="18" t="str">
        <f aca="false">Cours_Bruts!B79</f>
        <v>AAPL</v>
      </c>
      <c r="C79" s="19" t="n">
        <f aca="false">Cours_Bruts!C79</f>
        <v>159.95</v>
      </c>
      <c r="D79" s="20" t="n">
        <f aca="false">IF(B79=B78,(C79-C78)/C78,"")</f>
        <v>-0.00472901499595557</v>
      </c>
      <c r="E79" s="20" t="n">
        <f aca="false">IF(B79=B78,(1+E78)*(1+IF(D79="",0,D79))-1,0)</f>
        <v>-0.111388888888889</v>
      </c>
      <c r="F79" s="21" t="n">
        <f aca="false">IF(B79=B78,MAX(F78,C79),C79)</f>
        <v>193.87</v>
      </c>
      <c r="G79" s="20" t="n">
        <f aca="false">(C79-F79)/F79</f>
        <v>-0.174962603806675</v>
      </c>
      <c r="H79" s="21" t="n">
        <f aca="true">IF(COUNTIFS($B$2:B79,B79)&gt;=20,AVERAGE(OFFSET(C79,-19,0,20,1)),"")</f>
        <v>156.182</v>
      </c>
      <c r="I79" s="21" t="n">
        <f aca="true">IF(COUNTIFS($B$2:B79,B79)&gt;=50,AVERAGE(OFFSET(C79,-49,0,50,1)),"")</f>
        <v>156.4512</v>
      </c>
    </row>
    <row r="80" customFormat="false" ht="15" hidden="false" customHeight="false" outlineLevel="0" collapsed="false">
      <c r="A80" s="17" t="n">
        <f aca="false">Cours_Bruts!A80</f>
        <v>45827</v>
      </c>
      <c r="B80" s="18" t="str">
        <f aca="false">Cours_Bruts!B80</f>
        <v>AAPL</v>
      </c>
      <c r="C80" s="19" t="n">
        <f aca="false">Cours_Bruts!C80</f>
        <v>160.3</v>
      </c>
      <c r="D80" s="20" t="n">
        <f aca="false">IF(B80=B79,(C80-C79)/C79,"")</f>
        <v>0.00218818380743997</v>
      </c>
      <c r="E80" s="20" t="n">
        <f aca="false">IF(B80=B79,(1+E79)*(1+IF(D80="",0,D80))-1,0)</f>
        <v>-0.109444444444444</v>
      </c>
      <c r="F80" s="21" t="n">
        <f aca="false">IF(B80=B79,MAX(F79,C80),C80)</f>
        <v>193.87</v>
      </c>
      <c r="G80" s="20" t="n">
        <f aca="false">(C80-F80)/F80</f>
        <v>-0.173157270335792</v>
      </c>
      <c r="H80" s="21" t="n">
        <f aca="true">IF(COUNTIFS($B$2:B80,B80)&gt;=20,AVERAGE(OFFSET(C80,-19,0,20,1)),"")</f>
        <v>156.5655</v>
      </c>
      <c r="I80" s="21" t="n">
        <f aca="true">IF(COUNTIFS($B$2:B80,B80)&gt;=50,AVERAGE(OFFSET(C80,-49,0,50,1)),"")</f>
        <v>156.3714</v>
      </c>
    </row>
    <row r="81" customFormat="false" ht="15" hidden="false" customHeight="false" outlineLevel="0" collapsed="false">
      <c r="A81" s="17" t="n">
        <f aca="false">Cours_Bruts!A81</f>
        <v>45828</v>
      </c>
      <c r="B81" s="18" t="str">
        <f aca="false">Cours_Bruts!B81</f>
        <v>AAPL</v>
      </c>
      <c r="C81" s="19" t="n">
        <f aca="false">Cours_Bruts!C81</f>
        <v>154.77</v>
      </c>
      <c r="D81" s="20" t="n">
        <f aca="false">IF(B81=B80,(C81-C80)/C80,"")</f>
        <v>-0.0344978165938865</v>
      </c>
      <c r="E81" s="20" t="n">
        <f aca="false">IF(B81=B80,(1+E80)*(1+IF(D81="",0,D81))-1,0)</f>
        <v>-0.140166666666666</v>
      </c>
      <c r="F81" s="21" t="n">
        <f aca="false">IF(B81=B80,MAX(F80,C81),C81)</f>
        <v>193.87</v>
      </c>
      <c r="G81" s="20" t="n">
        <f aca="false">(C81-F81)/F81</f>
        <v>-0.201681539175736</v>
      </c>
      <c r="H81" s="21" t="n">
        <f aca="true">IF(COUNTIFS($B$2:B81,B81)&gt;=20,AVERAGE(OFFSET(C81,-19,0,20,1)),"")</f>
        <v>156.537</v>
      </c>
      <c r="I81" s="21" t="n">
        <f aca="true">IF(COUNTIFS($B$2:B81,B81)&gt;=50,AVERAGE(OFFSET(C81,-49,0,50,1)),"")</f>
        <v>156.1962</v>
      </c>
    </row>
    <row r="82" customFormat="false" ht="15" hidden="false" customHeight="false" outlineLevel="0" collapsed="false">
      <c r="A82" s="17" t="n">
        <f aca="false">Cours_Bruts!A82</f>
        <v>45719</v>
      </c>
      <c r="B82" s="18" t="str">
        <f aca="false">Cours_Bruts!B82</f>
        <v>MSFT</v>
      </c>
      <c r="C82" s="19" t="n">
        <f aca="false">Cours_Bruts!C82</f>
        <v>370</v>
      </c>
      <c r="D82" s="20" t="str">
        <f aca="false">IF(B82=B81,(C82-C81)/C81,"")</f>
        <v/>
      </c>
      <c r="E82" s="20" t="n">
        <f aca="false">IF(B82=B81,(1+E81)*(1+IF(D82="",0,D82))-1,0)</f>
        <v>0</v>
      </c>
      <c r="F82" s="21" t="n">
        <f aca="false">IF(B82=B81,MAX(F81,C82),C82)</f>
        <v>370</v>
      </c>
      <c r="G82" s="20" t="n">
        <f aca="false">(C82-F82)/F82</f>
        <v>0</v>
      </c>
      <c r="H82" s="21" t="str">
        <f aca="true">IF(COUNTIFS($B$2:B82,B82)&gt;=20,AVERAGE(OFFSET(C82,-19,0,20,1)),"")</f>
        <v/>
      </c>
      <c r="I82" s="21" t="str">
        <f aca="true">IF(COUNTIFS($B$2:B82,B82)&gt;=50,AVERAGE(OFFSET(C82,-49,0,50,1)),"")</f>
        <v/>
      </c>
    </row>
    <row r="83" customFormat="false" ht="15" hidden="false" customHeight="false" outlineLevel="0" collapsed="false">
      <c r="A83" s="17" t="n">
        <f aca="false">Cours_Bruts!A83</f>
        <v>45720</v>
      </c>
      <c r="B83" s="18" t="str">
        <f aca="false">Cours_Bruts!B83</f>
        <v>MSFT</v>
      </c>
      <c r="C83" s="19" t="n">
        <f aca="false">Cours_Bruts!C83</f>
        <v>368.77</v>
      </c>
      <c r="D83" s="20" t="n">
        <f aca="false">IF(B83=B82,(C83-C82)/C82,"")</f>
        <v>-0.00332432432432437</v>
      </c>
      <c r="E83" s="20" t="n">
        <f aca="false">IF(B83=B82,(1+E82)*(1+IF(D83="",0,D83))-1,0)</f>
        <v>-0.00332432432432439</v>
      </c>
      <c r="F83" s="21" t="n">
        <f aca="false">IF(B83=B82,MAX(F82,C83),C83)</f>
        <v>370</v>
      </c>
      <c r="G83" s="20" t="n">
        <f aca="false">(C83-F83)/F83</f>
        <v>-0.00332432432432437</v>
      </c>
      <c r="H83" s="21" t="str">
        <f aca="true">IF(COUNTIFS($B$2:B83,B83)&gt;=20,AVERAGE(OFFSET(C83,-19,0,20,1)),"")</f>
        <v/>
      </c>
      <c r="I83" s="21" t="str">
        <f aca="true">IF(COUNTIFS($B$2:B83,B83)&gt;=50,AVERAGE(OFFSET(C83,-49,0,50,1)),"")</f>
        <v/>
      </c>
    </row>
    <row r="84" customFormat="false" ht="15" hidden="false" customHeight="false" outlineLevel="0" collapsed="false">
      <c r="A84" s="17" t="n">
        <f aca="false">Cours_Bruts!A84</f>
        <v>45721</v>
      </c>
      <c r="B84" s="18" t="str">
        <f aca="false">Cours_Bruts!B84</f>
        <v>MSFT</v>
      </c>
      <c r="C84" s="19" t="n">
        <f aca="false">Cours_Bruts!C84</f>
        <v>377.66</v>
      </c>
      <c r="D84" s="20" t="n">
        <f aca="false">IF(B84=B83,(C84-C83)/C83,"")</f>
        <v>0.0241071670689049</v>
      </c>
      <c r="E84" s="20" t="n">
        <f aca="false">IF(B84=B83,(1+E83)*(1+IF(D84="",0,D84))-1,0)</f>
        <v>0.0207027027027027</v>
      </c>
      <c r="F84" s="21" t="n">
        <f aca="false">IF(B84=B83,MAX(F83,C84),C84)</f>
        <v>377.66</v>
      </c>
      <c r="G84" s="20" t="n">
        <f aca="false">(C84-F84)/F84</f>
        <v>0</v>
      </c>
      <c r="H84" s="21" t="str">
        <f aca="true">IF(COUNTIFS($B$2:B84,B84)&gt;=20,AVERAGE(OFFSET(C84,-19,0,20,1)),"")</f>
        <v/>
      </c>
      <c r="I84" s="21" t="str">
        <f aca="true">IF(COUNTIFS($B$2:B84,B84)&gt;=50,AVERAGE(OFFSET(C84,-49,0,50,1)),"")</f>
        <v/>
      </c>
    </row>
    <row r="85" customFormat="false" ht="15" hidden="false" customHeight="false" outlineLevel="0" collapsed="false">
      <c r="A85" s="17" t="n">
        <f aca="false">Cours_Bruts!A85</f>
        <v>45722</v>
      </c>
      <c r="B85" s="18" t="str">
        <f aca="false">Cours_Bruts!B85</f>
        <v>MSFT</v>
      </c>
      <c r="C85" s="19" t="n">
        <f aca="false">Cours_Bruts!C85</f>
        <v>384.5</v>
      </c>
      <c r="D85" s="20" t="n">
        <f aca="false">IF(B85=B84,(C85-C84)/C84,"")</f>
        <v>0.0181115288884181</v>
      </c>
      <c r="E85" s="20" t="n">
        <f aca="false">IF(B85=B84,(1+E84)*(1+IF(D85="",0,D85))-1,0)</f>
        <v>0.0391891891891891</v>
      </c>
      <c r="F85" s="21" t="n">
        <f aca="false">IF(B85=B84,MAX(F84,C85),C85)</f>
        <v>384.5</v>
      </c>
      <c r="G85" s="20" t="n">
        <f aca="false">(C85-F85)/F85</f>
        <v>0</v>
      </c>
      <c r="H85" s="21" t="str">
        <f aca="true">IF(COUNTIFS($B$2:B85,B85)&gt;=20,AVERAGE(OFFSET(C85,-19,0,20,1)),"")</f>
        <v/>
      </c>
      <c r="I85" s="21" t="str">
        <f aca="true">IF(COUNTIFS($B$2:B85,B85)&gt;=50,AVERAGE(OFFSET(C85,-49,0,50,1)),"")</f>
        <v/>
      </c>
    </row>
    <row r="86" customFormat="false" ht="15" hidden="false" customHeight="false" outlineLevel="0" collapsed="false">
      <c r="A86" s="17" t="n">
        <f aca="false">Cours_Bruts!A86</f>
        <v>45723</v>
      </c>
      <c r="B86" s="18" t="str">
        <f aca="false">Cours_Bruts!B86</f>
        <v>MSFT</v>
      </c>
      <c r="C86" s="19" t="n">
        <f aca="false">Cours_Bruts!C86</f>
        <v>369.01</v>
      </c>
      <c r="D86" s="20" t="n">
        <f aca="false">IF(B86=B85,(C86-C85)/C85,"")</f>
        <v>-0.0402860858257478</v>
      </c>
      <c r="E86" s="20" t="n">
        <f aca="false">IF(B86=B85,(1+E85)*(1+IF(D86="",0,D86))-1,0)</f>
        <v>-0.00267567567567584</v>
      </c>
      <c r="F86" s="21" t="n">
        <f aca="false">IF(B86=B85,MAX(F85,C86),C86)</f>
        <v>384.5</v>
      </c>
      <c r="G86" s="20" t="n">
        <f aca="false">(C86-F86)/F86</f>
        <v>-0.0402860858257478</v>
      </c>
      <c r="H86" s="21" t="str">
        <f aca="true">IF(COUNTIFS($B$2:B86,B86)&gt;=20,AVERAGE(OFFSET(C86,-19,0,20,1)),"")</f>
        <v/>
      </c>
      <c r="I86" s="21" t="str">
        <f aca="true">IF(COUNTIFS($B$2:B86,B86)&gt;=50,AVERAGE(OFFSET(C86,-49,0,50,1)),"")</f>
        <v/>
      </c>
    </row>
    <row r="87" customFormat="false" ht="15" hidden="false" customHeight="false" outlineLevel="0" collapsed="false">
      <c r="A87" s="17" t="n">
        <f aca="false">Cours_Bruts!A87</f>
        <v>45726</v>
      </c>
      <c r="B87" s="18" t="str">
        <f aca="false">Cours_Bruts!B87</f>
        <v>MSFT</v>
      </c>
      <c r="C87" s="19" t="n">
        <f aca="false">Cours_Bruts!C87</f>
        <v>378.19</v>
      </c>
      <c r="D87" s="20" t="n">
        <f aca="false">IF(B87=B86,(C87-C86)/C86,"")</f>
        <v>0.0248773745968944</v>
      </c>
      <c r="E87" s="20" t="n">
        <f aca="false">IF(B87=B86,(1+E86)*(1+IF(D87="",0,D87))-1,0)</f>
        <v>0.0221351351351351</v>
      </c>
      <c r="F87" s="21" t="n">
        <f aca="false">IF(B87=B86,MAX(F86,C87),C87)</f>
        <v>384.5</v>
      </c>
      <c r="G87" s="20" t="n">
        <f aca="false">(C87-F87)/F87</f>
        <v>-0.0164109232769831</v>
      </c>
      <c r="H87" s="21" t="str">
        <f aca="true">IF(COUNTIFS($B$2:B87,B87)&gt;=20,AVERAGE(OFFSET(C87,-19,0,20,1)),"")</f>
        <v/>
      </c>
      <c r="I87" s="21" t="str">
        <f aca="true">IF(COUNTIFS($B$2:B87,B87)&gt;=50,AVERAGE(OFFSET(C87,-49,0,50,1)),"")</f>
        <v/>
      </c>
    </row>
    <row r="88" customFormat="false" ht="15" hidden="false" customHeight="false" outlineLevel="0" collapsed="false">
      <c r="A88" s="17" t="n">
        <f aca="false">Cours_Bruts!A88</f>
        <v>45727</v>
      </c>
      <c r="B88" s="18" t="str">
        <f aca="false">Cours_Bruts!B88</f>
        <v>MSFT</v>
      </c>
      <c r="C88" s="19" t="n">
        <f aca="false">Cours_Bruts!C88</f>
        <v>391.8</v>
      </c>
      <c r="D88" s="20" t="n">
        <f aca="false">IF(B88=B87,(C88-C87)/C87,"")</f>
        <v>0.0359872021999524</v>
      </c>
      <c r="E88" s="20" t="n">
        <f aca="false">IF(B88=B87,(1+E87)*(1+IF(D88="",0,D88))-1,0)</f>
        <v>0.0589189189189188</v>
      </c>
      <c r="F88" s="21" t="n">
        <f aca="false">IF(B88=B87,MAX(F87,C88),C88)</f>
        <v>391.8</v>
      </c>
      <c r="G88" s="20" t="n">
        <f aca="false">(C88-F88)/F88</f>
        <v>0</v>
      </c>
      <c r="H88" s="21" t="str">
        <f aca="true">IF(COUNTIFS($B$2:B88,B88)&gt;=20,AVERAGE(OFFSET(C88,-19,0,20,1)),"")</f>
        <v/>
      </c>
      <c r="I88" s="21" t="str">
        <f aca="true">IF(COUNTIFS($B$2:B88,B88)&gt;=50,AVERAGE(OFFSET(C88,-49,0,50,1)),"")</f>
        <v/>
      </c>
    </row>
    <row r="89" customFormat="false" ht="15" hidden="false" customHeight="false" outlineLevel="0" collapsed="false">
      <c r="A89" s="17" t="n">
        <f aca="false">Cours_Bruts!A89</f>
        <v>45728</v>
      </c>
      <c r="B89" s="18" t="str">
        <f aca="false">Cours_Bruts!B89</f>
        <v>MSFT</v>
      </c>
      <c r="C89" s="19" t="n">
        <f aca="false">Cours_Bruts!C89</f>
        <v>399.95</v>
      </c>
      <c r="D89" s="20" t="n">
        <f aca="false">IF(B89=B88,(C89-C88)/C88,"")</f>
        <v>0.0208014293006635</v>
      </c>
      <c r="E89" s="20" t="n">
        <f aca="false">IF(B89=B88,(1+E88)*(1+IF(D89="",0,D89))-1,0)</f>
        <v>0.0809459459459456</v>
      </c>
      <c r="F89" s="21" t="n">
        <f aca="false">IF(B89=B88,MAX(F88,C89),C89)</f>
        <v>399.95</v>
      </c>
      <c r="G89" s="20" t="n">
        <f aca="false">(C89-F89)/F89</f>
        <v>0</v>
      </c>
      <c r="H89" s="21" t="str">
        <f aca="true">IF(COUNTIFS($B$2:B89,B89)&gt;=20,AVERAGE(OFFSET(C89,-19,0,20,1)),"")</f>
        <v/>
      </c>
      <c r="I89" s="21" t="str">
        <f aca="true">IF(COUNTIFS($B$2:B89,B89)&gt;=50,AVERAGE(OFFSET(C89,-49,0,50,1)),"")</f>
        <v/>
      </c>
    </row>
    <row r="90" customFormat="false" ht="15" hidden="false" customHeight="false" outlineLevel="0" collapsed="false">
      <c r="A90" s="17" t="n">
        <f aca="false">Cours_Bruts!A90</f>
        <v>45729</v>
      </c>
      <c r="B90" s="18" t="str">
        <f aca="false">Cours_Bruts!B90</f>
        <v>MSFT</v>
      </c>
      <c r="C90" s="19" t="n">
        <f aca="false">Cours_Bruts!C90</f>
        <v>398.8</v>
      </c>
      <c r="D90" s="20" t="n">
        <f aca="false">IF(B90=B89,(C90-C89)/C89,"")</f>
        <v>-0.00287535941992743</v>
      </c>
      <c r="E90" s="20" t="n">
        <f aca="false">IF(B90=B89,(1+E89)*(1+IF(D90="",0,D90))-1,0)</f>
        <v>0.0778378378378375</v>
      </c>
      <c r="F90" s="21" t="n">
        <f aca="false">IF(B90=B89,MAX(F89,C90),C90)</f>
        <v>399.95</v>
      </c>
      <c r="G90" s="20" t="n">
        <f aca="false">(C90-F90)/F90</f>
        <v>-0.00287535941992743</v>
      </c>
      <c r="H90" s="21" t="str">
        <f aca="true">IF(COUNTIFS($B$2:B90,B90)&gt;=20,AVERAGE(OFFSET(C90,-19,0,20,1)),"")</f>
        <v/>
      </c>
      <c r="I90" s="21" t="str">
        <f aca="true">IF(COUNTIFS($B$2:B90,B90)&gt;=50,AVERAGE(OFFSET(C90,-49,0,50,1)),"")</f>
        <v/>
      </c>
    </row>
    <row r="91" customFormat="false" ht="15" hidden="false" customHeight="false" outlineLevel="0" collapsed="false">
      <c r="A91" s="17" t="n">
        <f aca="false">Cours_Bruts!A91</f>
        <v>45730</v>
      </c>
      <c r="B91" s="18" t="str">
        <f aca="false">Cours_Bruts!B91</f>
        <v>MSFT</v>
      </c>
      <c r="C91" s="19" t="n">
        <f aca="false">Cours_Bruts!C91</f>
        <v>394.55</v>
      </c>
      <c r="D91" s="20" t="n">
        <f aca="false">IF(B91=B90,(C91-C90)/C90,"")</f>
        <v>-0.0106569709127382</v>
      </c>
      <c r="E91" s="20" t="n">
        <f aca="false">IF(B91=B90,(1+E90)*(1+IF(D91="",0,D91))-1,0)</f>
        <v>0.066351351351351</v>
      </c>
      <c r="F91" s="21" t="n">
        <f aca="false">IF(B91=B90,MAX(F90,C91),C91)</f>
        <v>399.95</v>
      </c>
      <c r="G91" s="20" t="n">
        <f aca="false">(C91-F91)/F91</f>
        <v>-0.0135016877109638</v>
      </c>
      <c r="H91" s="21" t="str">
        <f aca="true">IF(COUNTIFS($B$2:B91,B91)&gt;=20,AVERAGE(OFFSET(C91,-19,0,20,1)),"")</f>
        <v/>
      </c>
      <c r="I91" s="21" t="str">
        <f aca="true">IF(COUNTIFS($B$2:B91,B91)&gt;=50,AVERAGE(OFFSET(C91,-49,0,50,1)),"")</f>
        <v/>
      </c>
    </row>
    <row r="92" customFormat="false" ht="15" hidden="false" customHeight="false" outlineLevel="0" collapsed="false">
      <c r="A92" s="17" t="n">
        <f aca="false">Cours_Bruts!A92</f>
        <v>45733</v>
      </c>
      <c r="B92" s="18" t="str">
        <f aca="false">Cours_Bruts!B92</f>
        <v>MSFT</v>
      </c>
      <c r="C92" s="19" t="n">
        <f aca="false">Cours_Bruts!C92</f>
        <v>399.51</v>
      </c>
      <c r="D92" s="20" t="n">
        <f aca="false">IF(B92=B91,(C92-C91)/C91,"")</f>
        <v>0.0125712837409707</v>
      </c>
      <c r="E92" s="20" t="n">
        <f aca="false">IF(B92=B91,(1+E91)*(1+IF(D92="",0,D92))-1,0)</f>
        <v>0.0797567567567563</v>
      </c>
      <c r="F92" s="21" t="n">
        <f aca="false">IF(B92=B91,MAX(F91,C92),C92)</f>
        <v>399.95</v>
      </c>
      <c r="G92" s="20" t="n">
        <f aca="false">(C92-F92)/F92</f>
        <v>-0.00110013751718964</v>
      </c>
      <c r="H92" s="21" t="str">
        <f aca="true">IF(COUNTIFS($B$2:B92,B92)&gt;=20,AVERAGE(OFFSET(C92,-19,0,20,1)),"")</f>
        <v/>
      </c>
      <c r="I92" s="21" t="str">
        <f aca="true">IF(COUNTIFS($B$2:B92,B92)&gt;=50,AVERAGE(OFFSET(C92,-49,0,50,1)),"")</f>
        <v/>
      </c>
    </row>
    <row r="93" customFormat="false" ht="15" hidden="false" customHeight="false" outlineLevel="0" collapsed="false">
      <c r="A93" s="17" t="n">
        <f aca="false">Cours_Bruts!A93</f>
        <v>45734</v>
      </c>
      <c r="B93" s="18" t="str">
        <f aca="false">Cours_Bruts!B93</f>
        <v>MSFT</v>
      </c>
      <c r="C93" s="19" t="n">
        <f aca="false">Cours_Bruts!C93</f>
        <v>395.71</v>
      </c>
      <c r="D93" s="20" t="n">
        <f aca="false">IF(B93=B92,(C93-C92)/C92,"")</f>
        <v>-0.00951165177342247</v>
      </c>
      <c r="E93" s="20" t="n">
        <f aca="false">IF(B93=B92,(1+E92)*(1+IF(D93="",0,D93))-1,0)</f>
        <v>0.0694864864864859</v>
      </c>
      <c r="F93" s="21" t="n">
        <f aca="false">IF(B93=B92,MAX(F92,C93),C93)</f>
        <v>399.95</v>
      </c>
      <c r="G93" s="20" t="n">
        <f aca="false">(C93-F93)/F93</f>
        <v>-0.0106013251656457</v>
      </c>
      <c r="H93" s="21" t="str">
        <f aca="true">IF(COUNTIFS($B$2:B93,B93)&gt;=20,AVERAGE(OFFSET(C93,-19,0,20,1)),"")</f>
        <v/>
      </c>
      <c r="I93" s="21" t="str">
        <f aca="true">IF(COUNTIFS($B$2:B93,B93)&gt;=50,AVERAGE(OFFSET(C93,-49,0,50,1)),"")</f>
        <v/>
      </c>
    </row>
    <row r="94" customFormat="false" ht="15" hidden="false" customHeight="false" outlineLevel="0" collapsed="false">
      <c r="A94" s="17" t="n">
        <f aca="false">Cours_Bruts!A94</f>
        <v>45735</v>
      </c>
      <c r="B94" s="18" t="str">
        <f aca="false">Cours_Bruts!B94</f>
        <v>MSFT</v>
      </c>
      <c r="C94" s="19" t="n">
        <f aca="false">Cours_Bruts!C94</f>
        <v>398.27</v>
      </c>
      <c r="D94" s="20" t="n">
        <f aca="false">IF(B94=B93,(C94-C93)/C93,"")</f>
        <v>0.00646938414495464</v>
      </c>
      <c r="E94" s="20" t="n">
        <f aca="false">IF(B94=B93,(1+E93)*(1+IF(D94="",0,D94))-1,0)</f>
        <v>0.0764054054054049</v>
      </c>
      <c r="F94" s="21" t="n">
        <f aca="false">IF(B94=B93,MAX(F93,C94),C94)</f>
        <v>399.95</v>
      </c>
      <c r="G94" s="20" t="n">
        <f aca="false">(C94-F94)/F94</f>
        <v>-0.00420052506563322</v>
      </c>
      <c r="H94" s="21" t="str">
        <f aca="true">IF(COUNTIFS($B$2:B94,B94)&gt;=20,AVERAGE(OFFSET(C94,-19,0,20,1)),"")</f>
        <v/>
      </c>
      <c r="I94" s="21" t="str">
        <f aca="true">IF(COUNTIFS($B$2:B94,B94)&gt;=50,AVERAGE(OFFSET(C94,-49,0,50,1)),"")</f>
        <v/>
      </c>
    </row>
    <row r="95" customFormat="false" ht="15" hidden="false" customHeight="false" outlineLevel="0" collapsed="false">
      <c r="A95" s="17" t="n">
        <f aca="false">Cours_Bruts!A95</f>
        <v>45736</v>
      </c>
      <c r="B95" s="18" t="str">
        <f aca="false">Cours_Bruts!B95</f>
        <v>MSFT</v>
      </c>
      <c r="C95" s="19" t="n">
        <f aca="false">Cours_Bruts!C95</f>
        <v>398.38</v>
      </c>
      <c r="D95" s="20" t="n">
        <f aca="false">IF(B95=B94,(C95-C94)/C94,"")</f>
        <v>0.000276194541391553</v>
      </c>
      <c r="E95" s="20" t="n">
        <f aca="false">IF(B95=B94,(1+E94)*(1+IF(D95="",0,D95))-1,0)</f>
        <v>0.0767027027027023</v>
      </c>
      <c r="F95" s="21" t="n">
        <f aca="false">IF(B95=B94,MAX(F94,C95),C95)</f>
        <v>399.95</v>
      </c>
      <c r="G95" s="20" t="n">
        <f aca="false">(C95-F95)/F95</f>
        <v>-0.00392549068633578</v>
      </c>
      <c r="H95" s="21" t="str">
        <f aca="true">IF(COUNTIFS($B$2:B95,B95)&gt;=20,AVERAGE(OFFSET(C95,-19,0,20,1)),"")</f>
        <v/>
      </c>
      <c r="I95" s="21" t="str">
        <f aca="true">IF(COUNTIFS($B$2:B95,B95)&gt;=50,AVERAGE(OFFSET(C95,-49,0,50,1)),"")</f>
        <v/>
      </c>
    </row>
    <row r="96" customFormat="false" ht="15" hidden="false" customHeight="false" outlineLevel="0" collapsed="false">
      <c r="A96" s="17" t="n">
        <f aca="false">Cours_Bruts!A96</f>
        <v>45737</v>
      </c>
      <c r="B96" s="18" t="str">
        <f aca="false">Cours_Bruts!B96</f>
        <v>MSFT</v>
      </c>
      <c r="C96" s="19" t="n">
        <f aca="false">Cours_Bruts!C96</f>
        <v>406.58</v>
      </c>
      <c r="D96" s="20" t="n">
        <f aca="false">IF(B96=B95,(C96-C95)/C95,"")</f>
        <v>0.0205833626186053</v>
      </c>
      <c r="E96" s="20" t="n">
        <f aca="false">IF(B96=B95,(1+E95)*(1+IF(D96="",0,D96))-1,0)</f>
        <v>0.0988648648648645</v>
      </c>
      <c r="F96" s="21" t="n">
        <f aca="false">IF(B96=B95,MAX(F95,C96),C96)</f>
        <v>406.58</v>
      </c>
      <c r="G96" s="20" t="n">
        <f aca="false">(C96-F96)/F96</f>
        <v>0</v>
      </c>
      <c r="H96" s="21" t="str">
        <f aca="true">IF(COUNTIFS($B$2:B96,B96)&gt;=20,AVERAGE(OFFSET(C96,-19,0,20,1)),"")</f>
        <v/>
      </c>
      <c r="I96" s="21" t="str">
        <f aca="true">IF(COUNTIFS($B$2:B96,B96)&gt;=50,AVERAGE(OFFSET(C96,-49,0,50,1)),"")</f>
        <v/>
      </c>
    </row>
    <row r="97" customFormat="false" ht="15" hidden="false" customHeight="false" outlineLevel="0" collapsed="false">
      <c r="A97" s="17" t="n">
        <f aca="false">Cours_Bruts!A97</f>
        <v>45740</v>
      </c>
      <c r="B97" s="18" t="str">
        <f aca="false">Cours_Bruts!B97</f>
        <v>MSFT</v>
      </c>
      <c r="C97" s="19" t="n">
        <f aca="false">Cours_Bruts!C97</f>
        <v>404.24</v>
      </c>
      <c r="D97" s="20" t="n">
        <f aca="false">IF(B97=B96,(C97-C96)/C96,"")</f>
        <v>-0.00575532490530763</v>
      </c>
      <c r="E97" s="20" t="n">
        <f aca="false">IF(B97=B96,(1+E96)*(1+IF(D97="",0,D97))-1,0)</f>
        <v>0.0925405405405402</v>
      </c>
      <c r="F97" s="21" t="n">
        <f aca="false">IF(B97=B96,MAX(F96,C97),C97)</f>
        <v>406.58</v>
      </c>
      <c r="G97" s="20" t="n">
        <f aca="false">(C97-F97)/F97</f>
        <v>-0.00575532490530763</v>
      </c>
      <c r="H97" s="21" t="str">
        <f aca="true">IF(COUNTIFS($B$2:B97,B97)&gt;=20,AVERAGE(OFFSET(C97,-19,0,20,1)),"")</f>
        <v/>
      </c>
      <c r="I97" s="21" t="str">
        <f aca="true">IF(COUNTIFS($B$2:B97,B97)&gt;=50,AVERAGE(OFFSET(C97,-49,0,50,1)),"")</f>
        <v/>
      </c>
    </row>
    <row r="98" customFormat="false" ht="15" hidden="false" customHeight="false" outlineLevel="0" collapsed="false">
      <c r="A98" s="17" t="n">
        <f aca="false">Cours_Bruts!A98</f>
        <v>45741</v>
      </c>
      <c r="B98" s="18" t="str">
        <f aca="false">Cours_Bruts!B98</f>
        <v>MSFT</v>
      </c>
      <c r="C98" s="19" t="n">
        <f aca="false">Cours_Bruts!C98</f>
        <v>401.57</v>
      </c>
      <c r="D98" s="20" t="n">
        <f aca="false">IF(B98=B97,(C98-C97)/C97,"")</f>
        <v>-0.00660498713635468</v>
      </c>
      <c r="E98" s="20" t="n">
        <f aca="false">IF(B98=B97,(1+E97)*(1+IF(D98="",0,D98))-1,0)</f>
        <v>0.0853243243243238</v>
      </c>
      <c r="F98" s="21" t="n">
        <f aca="false">IF(B98=B97,MAX(F97,C98),C98)</f>
        <v>406.58</v>
      </c>
      <c r="G98" s="20" t="n">
        <f aca="false">(C98-F98)/F98</f>
        <v>-0.0123222981946972</v>
      </c>
      <c r="H98" s="21" t="str">
        <f aca="true">IF(COUNTIFS($B$2:B98,B98)&gt;=20,AVERAGE(OFFSET(C98,-19,0,20,1)),"")</f>
        <v/>
      </c>
      <c r="I98" s="21" t="str">
        <f aca="true">IF(COUNTIFS($B$2:B98,B98)&gt;=50,AVERAGE(OFFSET(C98,-49,0,50,1)),"")</f>
        <v/>
      </c>
    </row>
    <row r="99" customFormat="false" ht="15" hidden="false" customHeight="false" outlineLevel="0" collapsed="false">
      <c r="A99" s="17" t="n">
        <f aca="false">Cours_Bruts!A99</f>
        <v>45742</v>
      </c>
      <c r="B99" s="18" t="str">
        <f aca="false">Cours_Bruts!B99</f>
        <v>MSFT</v>
      </c>
      <c r="C99" s="19" t="n">
        <f aca="false">Cours_Bruts!C99</f>
        <v>404.31</v>
      </c>
      <c r="D99" s="20" t="n">
        <f aca="false">IF(B99=B98,(C99-C98)/C98,"")</f>
        <v>0.00682321886595117</v>
      </c>
      <c r="E99" s="20" t="n">
        <f aca="false">IF(B99=B98,(1+E98)*(1+IF(D99="",0,D99))-1,0)</f>
        <v>0.0927297297297292</v>
      </c>
      <c r="F99" s="21" t="n">
        <f aca="false">IF(B99=B98,MAX(F98,C99),C99)</f>
        <v>406.58</v>
      </c>
      <c r="G99" s="20" t="n">
        <f aca="false">(C99-F99)/F99</f>
        <v>-0.00558315706625998</v>
      </c>
      <c r="H99" s="21" t="str">
        <f aca="true">IF(COUNTIFS($B$2:B99,B99)&gt;=20,AVERAGE(OFFSET(C99,-19,0,20,1)),"")</f>
        <v/>
      </c>
      <c r="I99" s="21" t="str">
        <f aca="true">IF(COUNTIFS($B$2:B99,B99)&gt;=50,AVERAGE(OFFSET(C99,-49,0,50,1)),"")</f>
        <v/>
      </c>
    </row>
    <row r="100" customFormat="false" ht="15" hidden="false" customHeight="false" outlineLevel="0" collapsed="false">
      <c r="A100" s="17" t="n">
        <f aca="false">Cours_Bruts!A100</f>
        <v>45743</v>
      </c>
      <c r="B100" s="18" t="str">
        <f aca="false">Cours_Bruts!B100</f>
        <v>MSFT</v>
      </c>
      <c r="C100" s="19" t="n">
        <f aca="false">Cours_Bruts!C100</f>
        <v>417.37</v>
      </c>
      <c r="D100" s="20" t="n">
        <f aca="false">IF(B100=B99,(C100-C99)/C99,"")</f>
        <v>0.0323019465261804</v>
      </c>
      <c r="E100" s="20" t="n">
        <f aca="false">IF(B100=B99,(1+E99)*(1+IF(D100="",0,D100))-1,0)</f>
        <v>0.128027027027027</v>
      </c>
      <c r="F100" s="21" t="n">
        <f aca="false">IF(B100=B99,MAX(F99,C100),C100)</f>
        <v>417.37</v>
      </c>
      <c r="G100" s="20" t="n">
        <f aca="false">(C100-F100)/F100</f>
        <v>0</v>
      </c>
      <c r="H100" s="21" t="str">
        <f aca="true">IF(COUNTIFS($B$2:B100,B100)&gt;=20,AVERAGE(OFFSET(C100,-19,0,20,1)),"")</f>
        <v/>
      </c>
      <c r="I100" s="21" t="str">
        <f aca="true">IF(COUNTIFS($B$2:B100,B100)&gt;=50,AVERAGE(OFFSET(C100,-49,0,50,1)),"")</f>
        <v/>
      </c>
    </row>
    <row r="101" customFormat="false" ht="15" hidden="false" customHeight="false" outlineLevel="0" collapsed="false">
      <c r="A101" s="17" t="n">
        <f aca="false">Cours_Bruts!A101</f>
        <v>45744</v>
      </c>
      <c r="B101" s="18" t="str">
        <f aca="false">Cours_Bruts!B101</f>
        <v>MSFT</v>
      </c>
      <c r="C101" s="19" t="n">
        <f aca="false">Cours_Bruts!C101</f>
        <v>418.19</v>
      </c>
      <c r="D101" s="20" t="n">
        <f aca="false">IF(B101=B100,(C101-C100)/C100,"")</f>
        <v>0.00196468361405945</v>
      </c>
      <c r="E101" s="20" t="n">
        <f aca="false">IF(B101=B100,(1+E100)*(1+IF(D101="",0,D101))-1,0)</f>
        <v>0.130243243243243</v>
      </c>
      <c r="F101" s="21" t="n">
        <f aca="false">IF(B101=B100,MAX(F100,C101),C101)</f>
        <v>418.19</v>
      </c>
      <c r="G101" s="20" t="n">
        <f aca="false">(C101-F101)/F101</f>
        <v>0</v>
      </c>
      <c r="H101" s="21" t="n">
        <f aca="true">IF(COUNTIFS($B$2:B101,B101)&gt;=20,AVERAGE(OFFSET(C101,-19,0,20,1)),"")</f>
        <v>393.868</v>
      </c>
      <c r="I101" s="21" t="str">
        <f aca="true">IF(COUNTIFS($B$2:B101,B101)&gt;=50,AVERAGE(OFFSET(C101,-49,0,50,1)),"")</f>
        <v/>
      </c>
    </row>
    <row r="102" customFormat="false" ht="15" hidden="false" customHeight="false" outlineLevel="0" collapsed="false">
      <c r="A102" s="17" t="n">
        <f aca="false">Cours_Bruts!A102</f>
        <v>45747</v>
      </c>
      <c r="B102" s="18" t="str">
        <f aca="false">Cours_Bruts!B102</f>
        <v>MSFT</v>
      </c>
      <c r="C102" s="19" t="n">
        <f aca="false">Cours_Bruts!C102</f>
        <v>415.61</v>
      </c>
      <c r="D102" s="20" t="n">
        <f aca="false">IF(B102=B101,(C102-C101)/C101,"")</f>
        <v>-0.00616944451086823</v>
      </c>
      <c r="E102" s="20" t="n">
        <f aca="false">IF(B102=B101,(1+E101)*(1+IF(D102="",0,D102))-1,0)</f>
        <v>0.12327027027027</v>
      </c>
      <c r="F102" s="21" t="n">
        <f aca="false">IF(B102=B101,MAX(F101,C102),C102)</f>
        <v>418.19</v>
      </c>
      <c r="G102" s="20" t="n">
        <f aca="false">(C102-F102)/F102</f>
        <v>-0.00616944451086823</v>
      </c>
      <c r="H102" s="21" t="n">
        <f aca="true">IF(COUNTIFS($B$2:B102,B102)&gt;=20,AVERAGE(OFFSET(C102,-19,0,20,1)),"")</f>
        <v>396.1485</v>
      </c>
      <c r="I102" s="21" t="str">
        <f aca="true">IF(COUNTIFS($B$2:B102,B102)&gt;=50,AVERAGE(OFFSET(C102,-49,0,50,1)),"")</f>
        <v/>
      </c>
    </row>
    <row r="103" customFormat="false" ht="15" hidden="false" customHeight="false" outlineLevel="0" collapsed="false">
      <c r="A103" s="17" t="n">
        <f aca="false">Cours_Bruts!A103</f>
        <v>45748</v>
      </c>
      <c r="B103" s="18" t="str">
        <f aca="false">Cours_Bruts!B103</f>
        <v>MSFT</v>
      </c>
      <c r="C103" s="19" t="n">
        <f aca="false">Cours_Bruts!C103</f>
        <v>421.71</v>
      </c>
      <c r="D103" s="20" t="n">
        <f aca="false">IF(B103=B102,(C103-C102)/C102,"")</f>
        <v>0.0146772214335554</v>
      </c>
      <c r="E103" s="20" t="n">
        <f aca="false">IF(B103=B102,(1+E102)*(1+IF(D103="",0,D103))-1,0)</f>
        <v>0.139756756756756</v>
      </c>
      <c r="F103" s="21" t="n">
        <f aca="false">IF(B103=B102,MAX(F102,C103),C103)</f>
        <v>421.71</v>
      </c>
      <c r="G103" s="20" t="n">
        <f aca="false">(C103-F103)/F103</f>
        <v>0</v>
      </c>
      <c r="H103" s="21" t="n">
        <f aca="true">IF(COUNTIFS($B$2:B103,B103)&gt;=20,AVERAGE(OFFSET(C103,-19,0,20,1)),"")</f>
        <v>398.7955</v>
      </c>
      <c r="I103" s="21" t="str">
        <f aca="true">IF(COUNTIFS($B$2:B103,B103)&gt;=50,AVERAGE(OFFSET(C103,-49,0,50,1)),"")</f>
        <v/>
      </c>
    </row>
    <row r="104" customFormat="false" ht="15" hidden="false" customHeight="false" outlineLevel="0" collapsed="false">
      <c r="A104" s="17" t="n">
        <f aca="false">Cours_Bruts!A104</f>
        <v>45749</v>
      </c>
      <c r="B104" s="18" t="str">
        <f aca="false">Cours_Bruts!B104</f>
        <v>MSFT</v>
      </c>
      <c r="C104" s="19" t="n">
        <f aca="false">Cours_Bruts!C104</f>
        <v>426.93</v>
      </c>
      <c r="D104" s="20" t="n">
        <f aca="false">IF(B104=B103,(C104-C103)/C103,"")</f>
        <v>0.0123781745749449</v>
      </c>
      <c r="E104" s="20" t="n">
        <f aca="false">IF(B104=B103,(1+E103)*(1+IF(D104="",0,D104))-1,0)</f>
        <v>0.153864864864864</v>
      </c>
      <c r="F104" s="21" t="n">
        <f aca="false">IF(B104=B103,MAX(F103,C104),C104)</f>
        <v>426.93</v>
      </c>
      <c r="G104" s="20" t="n">
        <f aca="false">(C104-F104)/F104</f>
        <v>0</v>
      </c>
      <c r="H104" s="21" t="n">
        <f aca="true">IF(COUNTIFS($B$2:B104,B104)&gt;=20,AVERAGE(OFFSET(C104,-19,0,20,1)),"")</f>
        <v>401.259</v>
      </c>
      <c r="I104" s="21" t="str">
        <f aca="true">IF(COUNTIFS($B$2:B104,B104)&gt;=50,AVERAGE(OFFSET(C104,-49,0,50,1)),"")</f>
        <v/>
      </c>
    </row>
    <row r="105" customFormat="false" ht="15" hidden="false" customHeight="false" outlineLevel="0" collapsed="false">
      <c r="A105" s="17" t="n">
        <f aca="false">Cours_Bruts!A105</f>
        <v>45750</v>
      </c>
      <c r="B105" s="18" t="str">
        <f aca="false">Cours_Bruts!B105</f>
        <v>MSFT</v>
      </c>
      <c r="C105" s="19" t="n">
        <f aca="false">Cours_Bruts!C105</f>
        <v>420.55</v>
      </c>
      <c r="D105" s="20" t="n">
        <f aca="false">IF(B105=B104,(C105-C104)/C104,"")</f>
        <v>-0.0149439018106013</v>
      </c>
      <c r="E105" s="20" t="n">
        <f aca="false">IF(B105=B104,(1+E104)*(1+IF(D105="",0,D105))-1,0)</f>
        <v>0.136621621621621</v>
      </c>
      <c r="F105" s="21" t="n">
        <f aca="false">IF(B105=B104,MAX(F104,C105),C105)</f>
        <v>426.93</v>
      </c>
      <c r="G105" s="20" t="n">
        <f aca="false">(C105-F105)/F105</f>
        <v>-0.0149439018106013</v>
      </c>
      <c r="H105" s="21" t="n">
        <f aca="true">IF(COUNTIFS($B$2:B105,B105)&gt;=20,AVERAGE(OFFSET(C105,-19,0,20,1)),"")</f>
        <v>403.0615</v>
      </c>
      <c r="I105" s="21" t="str">
        <f aca="true">IF(COUNTIFS($B$2:B105,B105)&gt;=50,AVERAGE(OFFSET(C105,-49,0,50,1)),"")</f>
        <v/>
      </c>
    </row>
    <row r="106" customFormat="false" ht="15" hidden="false" customHeight="false" outlineLevel="0" collapsed="false">
      <c r="A106" s="17" t="n">
        <f aca="false">Cours_Bruts!A106</f>
        <v>45751</v>
      </c>
      <c r="B106" s="18" t="str">
        <f aca="false">Cours_Bruts!B106</f>
        <v>MSFT</v>
      </c>
      <c r="C106" s="19" t="n">
        <f aca="false">Cours_Bruts!C106</f>
        <v>417.13</v>
      </c>
      <c r="D106" s="20" t="n">
        <f aca="false">IF(B106=B105,(C106-C105)/C105,"")</f>
        <v>-0.00813220782308885</v>
      </c>
      <c r="E106" s="20" t="n">
        <f aca="false">IF(B106=B105,(1+E105)*(1+IF(D106="",0,D106))-1,0)</f>
        <v>0.127378378378378</v>
      </c>
      <c r="F106" s="21" t="n">
        <f aca="false">IF(B106=B105,MAX(F105,C106),C106)</f>
        <v>426.93</v>
      </c>
      <c r="G106" s="20" t="n">
        <f aca="false">(C106-F106)/F106</f>
        <v>-0.0229545827184785</v>
      </c>
      <c r="H106" s="21" t="n">
        <f aca="true">IF(COUNTIFS($B$2:B106,B106)&gt;=20,AVERAGE(OFFSET(C106,-19,0,20,1)),"")</f>
        <v>405.4675</v>
      </c>
      <c r="I106" s="21" t="str">
        <f aca="true">IF(COUNTIFS($B$2:B106,B106)&gt;=50,AVERAGE(OFFSET(C106,-49,0,50,1)),"")</f>
        <v/>
      </c>
    </row>
    <row r="107" customFormat="false" ht="15" hidden="false" customHeight="false" outlineLevel="0" collapsed="false">
      <c r="A107" s="17" t="n">
        <f aca="false">Cours_Bruts!A107</f>
        <v>45754</v>
      </c>
      <c r="B107" s="18" t="str">
        <f aca="false">Cours_Bruts!B107</f>
        <v>MSFT</v>
      </c>
      <c r="C107" s="19" t="n">
        <f aca="false">Cours_Bruts!C107</f>
        <v>424.88</v>
      </c>
      <c r="D107" s="20" t="n">
        <f aca="false">IF(B107=B106,(C107-C106)/C106,"")</f>
        <v>0.0185793397741711</v>
      </c>
      <c r="E107" s="20" t="n">
        <f aca="false">IF(B107=B106,(1+E106)*(1+IF(D107="",0,D107))-1,0)</f>
        <v>0.148324324324324</v>
      </c>
      <c r="F107" s="21" t="n">
        <f aca="false">IF(B107=B106,MAX(F106,C107),C107)</f>
        <v>426.93</v>
      </c>
      <c r="G107" s="20" t="n">
        <f aca="false">(C107-F107)/F107</f>
        <v>-0.00480172393600827</v>
      </c>
      <c r="H107" s="21" t="n">
        <f aca="true">IF(COUNTIFS($B$2:B107,B107)&gt;=20,AVERAGE(OFFSET(C107,-19,0,20,1)),"")</f>
        <v>407.802</v>
      </c>
      <c r="I107" s="21" t="str">
        <f aca="true">IF(COUNTIFS($B$2:B107,B107)&gt;=50,AVERAGE(OFFSET(C107,-49,0,50,1)),"")</f>
        <v/>
      </c>
    </row>
    <row r="108" customFormat="false" ht="15" hidden="false" customHeight="false" outlineLevel="0" collapsed="false">
      <c r="A108" s="17" t="n">
        <f aca="false">Cours_Bruts!A108</f>
        <v>45755</v>
      </c>
      <c r="B108" s="18" t="str">
        <f aca="false">Cours_Bruts!B108</f>
        <v>MSFT</v>
      </c>
      <c r="C108" s="19" t="n">
        <f aca="false">Cours_Bruts!C108</f>
        <v>428.13</v>
      </c>
      <c r="D108" s="20" t="n">
        <f aca="false">IF(B108=B107,(C108-C107)/C107,"")</f>
        <v>0.00764921860289964</v>
      </c>
      <c r="E108" s="20" t="n">
        <f aca="false">IF(B108=B107,(1+E107)*(1+IF(D108="",0,D108))-1,0)</f>
        <v>0.157108108108108</v>
      </c>
      <c r="F108" s="21" t="n">
        <f aca="false">IF(B108=B107,MAX(F107,C108),C108)</f>
        <v>428.13</v>
      </c>
      <c r="G108" s="20" t="n">
        <f aca="false">(C108-F108)/F108</f>
        <v>0</v>
      </c>
      <c r="H108" s="21" t="n">
        <f aca="true">IF(COUNTIFS($B$2:B108,B108)&gt;=20,AVERAGE(OFFSET(C108,-19,0,20,1)),"")</f>
        <v>409.6185</v>
      </c>
      <c r="I108" s="21" t="str">
        <f aca="true">IF(COUNTIFS($B$2:B108,B108)&gt;=50,AVERAGE(OFFSET(C108,-49,0,50,1)),"")</f>
        <v/>
      </c>
    </row>
    <row r="109" customFormat="false" ht="15" hidden="false" customHeight="false" outlineLevel="0" collapsed="false">
      <c r="A109" s="17" t="n">
        <f aca="false">Cours_Bruts!A109</f>
        <v>45756</v>
      </c>
      <c r="B109" s="18" t="str">
        <f aca="false">Cours_Bruts!B109</f>
        <v>MSFT</v>
      </c>
      <c r="C109" s="19" t="n">
        <f aca="false">Cours_Bruts!C109</f>
        <v>411.08</v>
      </c>
      <c r="D109" s="20" t="n">
        <f aca="false">IF(B109=B108,(C109-C108)/C108,"")</f>
        <v>-0.0398243524163222</v>
      </c>
      <c r="E109" s="20" t="n">
        <f aca="false">IF(B109=B108,(1+E108)*(1+IF(D109="",0,D109))-1,0)</f>
        <v>0.111027027027026</v>
      </c>
      <c r="F109" s="21" t="n">
        <f aca="false">IF(B109=B108,MAX(F108,C109),C109)</f>
        <v>428.13</v>
      </c>
      <c r="G109" s="20" t="n">
        <f aca="false">(C109-F109)/F109</f>
        <v>-0.0398243524163222</v>
      </c>
      <c r="H109" s="21" t="n">
        <f aca="true">IF(COUNTIFS($B$2:B109,B109)&gt;=20,AVERAGE(OFFSET(C109,-19,0,20,1)),"")</f>
        <v>410.175</v>
      </c>
      <c r="I109" s="21" t="str">
        <f aca="true">IF(COUNTIFS($B$2:B109,B109)&gt;=50,AVERAGE(OFFSET(C109,-49,0,50,1)),"")</f>
        <v/>
      </c>
    </row>
    <row r="110" customFormat="false" ht="15" hidden="false" customHeight="false" outlineLevel="0" collapsed="false">
      <c r="A110" s="17" t="n">
        <f aca="false">Cours_Bruts!A110</f>
        <v>45757</v>
      </c>
      <c r="B110" s="18" t="str">
        <f aca="false">Cours_Bruts!B110</f>
        <v>MSFT</v>
      </c>
      <c r="C110" s="19" t="n">
        <f aca="false">Cours_Bruts!C110</f>
        <v>414.59</v>
      </c>
      <c r="D110" s="20" t="n">
        <f aca="false">IF(B110=B109,(C110-C109)/C109,"")</f>
        <v>0.00853848399338326</v>
      </c>
      <c r="E110" s="20" t="n">
        <f aca="false">IF(B110=B109,(1+E109)*(1+IF(D110="",0,D110))-1,0)</f>
        <v>0.120513513513513</v>
      </c>
      <c r="F110" s="21" t="n">
        <f aca="false">IF(B110=B109,MAX(F109,C110),C110)</f>
        <v>428.13</v>
      </c>
      <c r="G110" s="20" t="n">
        <f aca="false">(C110-F110)/F110</f>
        <v>-0.0316259080185925</v>
      </c>
      <c r="H110" s="21" t="n">
        <f aca="true">IF(COUNTIFS($B$2:B110,B110)&gt;=20,AVERAGE(OFFSET(C110,-19,0,20,1)),"")</f>
        <v>410.9645</v>
      </c>
      <c r="I110" s="21" t="str">
        <f aca="true">IF(COUNTIFS($B$2:B110,B110)&gt;=50,AVERAGE(OFFSET(C110,-49,0,50,1)),"")</f>
        <v/>
      </c>
    </row>
    <row r="111" customFormat="false" ht="15" hidden="false" customHeight="false" outlineLevel="0" collapsed="false">
      <c r="A111" s="17" t="n">
        <f aca="false">Cours_Bruts!A111</f>
        <v>45758</v>
      </c>
      <c r="B111" s="18" t="str">
        <f aca="false">Cours_Bruts!B111</f>
        <v>MSFT</v>
      </c>
      <c r="C111" s="19" t="n">
        <f aca="false">Cours_Bruts!C111</f>
        <v>421.15</v>
      </c>
      <c r="D111" s="20" t="n">
        <f aca="false">IF(B111=B110,(C111-C110)/C110,"")</f>
        <v>0.0158228611399214</v>
      </c>
      <c r="E111" s="20" t="n">
        <f aca="false">IF(B111=B110,(1+E110)*(1+IF(D111="",0,D111))-1,0)</f>
        <v>0.138243243243243</v>
      </c>
      <c r="F111" s="21" t="n">
        <f aca="false">IF(B111=B110,MAX(F110,C111),C111)</f>
        <v>428.13</v>
      </c>
      <c r="G111" s="20" t="n">
        <f aca="false">(C111-F111)/F111</f>
        <v>-0.0163034592296733</v>
      </c>
      <c r="H111" s="21" t="n">
        <f aca="true">IF(COUNTIFS($B$2:B111,B111)&gt;=20,AVERAGE(OFFSET(C111,-19,0,20,1)),"")</f>
        <v>412.2945</v>
      </c>
      <c r="I111" s="21" t="str">
        <f aca="true">IF(COUNTIFS($B$2:B111,B111)&gt;=50,AVERAGE(OFFSET(C111,-49,0,50,1)),"")</f>
        <v/>
      </c>
    </row>
    <row r="112" customFormat="false" ht="15" hidden="false" customHeight="false" outlineLevel="0" collapsed="false">
      <c r="A112" s="17" t="n">
        <f aca="false">Cours_Bruts!A112</f>
        <v>45761</v>
      </c>
      <c r="B112" s="18" t="str">
        <f aca="false">Cours_Bruts!B112</f>
        <v>MSFT</v>
      </c>
      <c r="C112" s="19" t="n">
        <f aca="false">Cours_Bruts!C112</f>
        <v>415.64</v>
      </c>
      <c r="D112" s="20" t="n">
        <f aca="false">IF(B112=B111,(C112-C111)/C111,"")</f>
        <v>-0.0130832245043334</v>
      </c>
      <c r="E112" s="20" t="n">
        <f aca="false">IF(B112=B111,(1+E111)*(1+IF(D112="",0,D112))-1,0)</f>
        <v>0.123351351351351</v>
      </c>
      <c r="F112" s="21" t="n">
        <f aca="false">IF(B112=B111,MAX(F111,C112),C112)</f>
        <v>428.13</v>
      </c>
      <c r="G112" s="20" t="n">
        <f aca="false">(C112-F112)/F112</f>
        <v>-0.0291733819167076</v>
      </c>
      <c r="H112" s="21" t="n">
        <f aca="true">IF(COUNTIFS($B$2:B112,B112)&gt;=20,AVERAGE(OFFSET(C112,-19,0,20,1)),"")</f>
        <v>413.101</v>
      </c>
      <c r="I112" s="21" t="str">
        <f aca="true">IF(COUNTIFS($B$2:B112,B112)&gt;=50,AVERAGE(OFFSET(C112,-49,0,50,1)),"")</f>
        <v/>
      </c>
    </row>
    <row r="113" customFormat="false" ht="15" hidden="false" customHeight="false" outlineLevel="0" collapsed="false">
      <c r="A113" s="17" t="n">
        <f aca="false">Cours_Bruts!A113</f>
        <v>45762</v>
      </c>
      <c r="B113" s="18" t="str">
        <f aca="false">Cours_Bruts!B113</f>
        <v>MSFT</v>
      </c>
      <c r="C113" s="19" t="n">
        <f aca="false">Cours_Bruts!C113</f>
        <v>420.51</v>
      </c>
      <c r="D113" s="20" t="n">
        <f aca="false">IF(B113=B112,(C113-C112)/C112,"")</f>
        <v>0.0117168703685882</v>
      </c>
      <c r="E113" s="20" t="n">
        <f aca="false">IF(B113=B112,(1+E112)*(1+IF(D113="",0,D113))-1,0)</f>
        <v>0.136513513513513</v>
      </c>
      <c r="F113" s="21" t="n">
        <f aca="false">IF(B113=B112,MAX(F112,C113),C113)</f>
        <v>428.13</v>
      </c>
      <c r="G113" s="20" t="n">
        <f aca="false">(C113-F113)/F113</f>
        <v>-0.0177983322822507</v>
      </c>
      <c r="H113" s="21" t="n">
        <f aca="true">IF(COUNTIFS($B$2:B113,B113)&gt;=20,AVERAGE(OFFSET(C113,-19,0,20,1)),"")</f>
        <v>414.341</v>
      </c>
      <c r="I113" s="21" t="str">
        <f aca="true">IF(COUNTIFS($B$2:B113,B113)&gt;=50,AVERAGE(OFFSET(C113,-49,0,50,1)),"")</f>
        <v/>
      </c>
    </row>
    <row r="114" customFormat="false" ht="15" hidden="false" customHeight="false" outlineLevel="0" collapsed="false">
      <c r="A114" s="17" t="n">
        <f aca="false">Cours_Bruts!A114</f>
        <v>45763</v>
      </c>
      <c r="B114" s="18" t="str">
        <f aca="false">Cours_Bruts!B114</f>
        <v>MSFT</v>
      </c>
      <c r="C114" s="19" t="n">
        <f aca="false">Cours_Bruts!C114</f>
        <v>433.67</v>
      </c>
      <c r="D114" s="20" t="n">
        <f aca="false">IF(B114=B113,(C114-C113)/C113,"")</f>
        <v>0.0312953318589333</v>
      </c>
      <c r="E114" s="20" t="n">
        <f aca="false">IF(B114=B113,(1+E113)*(1+IF(D114="",0,D114))-1,0)</f>
        <v>0.17208108108108</v>
      </c>
      <c r="F114" s="21" t="n">
        <f aca="false">IF(B114=B113,MAX(F113,C114),C114)</f>
        <v>433.67</v>
      </c>
      <c r="G114" s="20" t="n">
        <f aca="false">(C114-F114)/F114</f>
        <v>0</v>
      </c>
      <c r="H114" s="21" t="n">
        <f aca="true">IF(COUNTIFS($B$2:B114,B114)&gt;=20,AVERAGE(OFFSET(C114,-19,0,20,1)),"")</f>
        <v>416.111</v>
      </c>
      <c r="I114" s="21" t="str">
        <f aca="true">IF(COUNTIFS($B$2:B114,B114)&gt;=50,AVERAGE(OFFSET(C114,-49,0,50,1)),"")</f>
        <v/>
      </c>
    </row>
    <row r="115" customFormat="false" ht="15" hidden="false" customHeight="false" outlineLevel="0" collapsed="false">
      <c r="A115" s="17" t="n">
        <f aca="false">Cours_Bruts!A115</f>
        <v>45764</v>
      </c>
      <c r="B115" s="18" t="str">
        <f aca="false">Cours_Bruts!B115</f>
        <v>MSFT</v>
      </c>
      <c r="C115" s="19" t="n">
        <f aca="false">Cours_Bruts!C115</f>
        <v>436.76</v>
      </c>
      <c r="D115" s="20" t="n">
        <f aca="false">IF(B115=B114,(C115-C114)/C114,"")</f>
        <v>0.00712523347245596</v>
      </c>
      <c r="E115" s="20" t="n">
        <f aca="false">IF(B115=B114,(1+E114)*(1+IF(D115="",0,D115))-1,0)</f>
        <v>0.180432432432432</v>
      </c>
      <c r="F115" s="21" t="n">
        <f aca="false">IF(B115=B114,MAX(F114,C115),C115)</f>
        <v>436.76</v>
      </c>
      <c r="G115" s="20" t="n">
        <f aca="false">(C115-F115)/F115</f>
        <v>0</v>
      </c>
      <c r="H115" s="21" t="n">
        <f aca="true">IF(COUNTIFS($B$2:B115,B115)&gt;=20,AVERAGE(OFFSET(C115,-19,0,20,1)),"")</f>
        <v>418.03</v>
      </c>
      <c r="I115" s="21" t="str">
        <f aca="true">IF(COUNTIFS($B$2:B115,B115)&gt;=50,AVERAGE(OFFSET(C115,-49,0,50,1)),"")</f>
        <v/>
      </c>
    </row>
    <row r="116" customFormat="false" ht="15" hidden="false" customHeight="false" outlineLevel="0" collapsed="false">
      <c r="A116" s="17" t="n">
        <f aca="false">Cours_Bruts!A116</f>
        <v>45765</v>
      </c>
      <c r="B116" s="18" t="str">
        <f aca="false">Cours_Bruts!B116</f>
        <v>MSFT</v>
      </c>
      <c r="C116" s="19" t="n">
        <f aca="false">Cours_Bruts!C116</f>
        <v>432.56</v>
      </c>
      <c r="D116" s="20" t="n">
        <f aca="false">IF(B116=B115,(C116-C115)/C115,"")</f>
        <v>-0.00961626522575325</v>
      </c>
      <c r="E116" s="20" t="n">
        <f aca="false">IF(B116=B115,(1+E115)*(1+IF(D116="",0,D116))-1,0)</f>
        <v>0.16908108108108</v>
      </c>
      <c r="F116" s="21" t="n">
        <f aca="false">IF(B116=B115,MAX(F115,C116),C116)</f>
        <v>436.76</v>
      </c>
      <c r="G116" s="20" t="n">
        <f aca="false">(C116-F116)/F116</f>
        <v>-0.00961626522575325</v>
      </c>
      <c r="H116" s="21" t="n">
        <f aca="true">IF(COUNTIFS($B$2:B116,B116)&gt;=20,AVERAGE(OFFSET(C116,-19,0,20,1)),"")</f>
        <v>419.329</v>
      </c>
      <c r="I116" s="21" t="str">
        <f aca="true">IF(COUNTIFS($B$2:B116,B116)&gt;=50,AVERAGE(OFFSET(C116,-49,0,50,1)),"")</f>
        <v/>
      </c>
    </row>
    <row r="117" customFormat="false" ht="15" hidden="false" customHeight="false" outlineLevel="0" collapsed="false">
      <c r="A117" s="17" t="n">
        <f aca="false">Cours_Bruts!A117</f>
        <v>45768</v>
      </c>
      <c r="B117" s="18" t="str">
        <f aca="false">Cours_Bruts!B117</f>
        <v>MSFT</v>
      </c>
      <c r="C117" s="19" t="n">
        <f aca="false">Cours_Bruts!C117</f>
        <v>429.14</v>
      </c>
      <c r="D117" s="20" t="n">
        <f aca="false">IF(B117=B116,(C117-C116)/C116,"")</f>
        <v>-0.00790641760680603</v>
      </c>
      <c r="E117" s="20" t="n">
        <f aca="false">IF(B117=B116,(1+E116)*(1+IF(D117="",0,D117))-1,0)</f>
        <v>0.159837837837837</v>
      </c>
      <c r="F117" s="21" t="n">
        <f aca="false">IF(B117=B116,MAX(F116,C117),C117)</f>
        <v>436.76</v>
      </c>
      <c r="G117" s="20" t="n">
        <f aca="false">(C117-F117)/F117</f>
        <v>-0.0174466526238667</v>
      </c>
      <c r="H117" s="21" t="n">
        <f aca="true">IF(COUNTIFS($B$2:B117,B117)&gt;=20,AVERAGE(OFFSET(C117,-19,0,20,1)),"")</f>
        <v>420.574</v>
      </c>
      <c r="I117" s="21" t="str">
        <f aca="true">IF(COUNTIFS($B$2:B117,B117)&gt;=50,AVERAGE(OFFSET(C117,-49,0,50,1)),"")</f>
        <v/>
      </c>
    </row>
    <row r="118" customFormat="false" ht="15" hidden="false" customHeight="false" outlineLevel="0" collapsed="false">
      <c r="A118" s="17" t="n">
        <f aca="false">Cours_Bruts!A118</f>
        <v>45769</v>
      </c>
      <c r="B118" s="18" t="str">
        <f aca="false">Cours_Bruts!B118</f>
        <v>MSFT</v>
      </c>
      <c r="C118" s="19" t="n">
        <f aca="false">Cours_Bruts!C118</f>
        <v>429.5</v>
      </c>
      <c r="D118" s="20" t="n">
        <f aca="false">IF(B118=B117,(C118-C117)/C117,"")</f>
        <v>0.00083888707647857</v>
      </c>
      <c r="E118" s="20" t="n">
        <f aca="false">IF(B118=B117,(1+E117)*(1+IF(D118="",0,D118))-1,0)</f>
        <v>0.16081081081081</v>
      </c>
      <c r="F118" s="21" t="n">
        <f aca="false">IF(B118=B117,MAX(F117,C118),C118)</f>
        <v>436.76</v>
      </c>
      <c r="G118" s="20" t="n">
        <f aca="false">(C118-F118)/F118</f>
        <v>-0.0166224013188021</v>
      </c>
      <c r="H118" s="21" t="n">
        <f aca="true">IF(COUNTIFS($B$2:B118,B118)&gt;=20,AVERAGE(OFFSET(C118,-19,0,20,1)),"")</f>
        <v>421.9705</v>
      </c>
      <c r="I118" s="21" t="str">
        <f aca="true">IF(COUNTIFS($B$2:B118,B118)&gt;=50,AVERAGE(OFFSET(C118,-49,0,50,1)),"")</f>
        <v/>
      </c>
    </row>
    <row r="119" customFormat="false" ht="15" hidden="false" customHeight="false" outlineLevel="0" collapsed="false">
      <c r="A119" s="17" t="n">
        <f aca="false">Cours_Bruts!A119</f>
        <v>45770</v>
      </c>
      <c r="B119" s="18" t="str">
        <f aca="false">Cours_Bruts!B119</f>
        <v>MSFT</v>
      </c>
      <c r="C119" s="19" t="n">
        <f aca="false">Cours_Bruts!C119</f>
        <v>432.43</v>
      </c>
      <c r="D119" s="20" t="n">
        <f aca="false">IF(B119=B118,(C119-C118)/C118,"")</f>
        <v>0.00682188591385333</v>
      </c>
      <c r="E119" s="20" t="n">
        <f aca="false">IF(B119=B118,(1+E118)*(1+IF(D119="",0,D119))-1,0)</f>
        <v>0.168729729729729</v>
      </c>
      <c r="F119" s="21" t="n">
        <f aca="false">IF(B119=B118,MAX(F118,C119),C119)</f>
        <v>436.76</v>
      </c>
      <c r="G119" s="20" t="n">
        <f aca="false">(C119-F119)/F119</f>
        <v>-0.00991391153035989</v>
      </c>
      <c r="H119" s="21" t="n">
        <f aca="true">IF(COUNTIFS($B$2:B119,B119)&gt;=20,AVERAGE(OFFSET(C119,-19,0,20,1)),"")</f>
        <v>423.3765</v>
      </c>
      <c r="I119" s="21" t="str">
        <f aca="true">IF(COUNTIFS($B$2:B119,B119)&gt;=50,AVERAGE(OFFSET(C119,-49,0,50,1)),"")</f>
        <v/>
      </c>
    </row>
    <row r="120" customFormat="false" ht="15" hidden="false" customHeight="false" outlineLevel="0" collapsed="false">
      <c r="A120" s="17" t="n">
        <f aca="false">Cours_Bruts!A120</f>
        <v>45771</v>
      </c>
      <c r="B120" s="18" t="str">
        <f aca="false">Cours_Bruts!B120</f>
        <v>MSFT</v>
      </c>
      <c r="C120" s="19" t="n">
        <f aca="false">Cours_Bruts!C120</f>
        <v>433.15</v>
      </c>
      <c r="D120" s="20" t="n">
        <f aca="false">IF(B120=B119,(C120-C119)/C119,"")</f>
        <v>0.00166500936567761</v>
      </c>
      <c r="E120" s="20" t="n">
        <f aca="false">IF(B120=B119,(1+E119)*(1+IF(D120="",0,D120))-1,0)</f>
        <v>0.170675675675675</v>
      </c>
      <c r="F120" s="21" t="n">
        <f aca="false">IF(B120=B119,MAX(F119,C120),C120)</f>
        <v>436.76</v>
      </c>
      <c r="G120" s="20" t="n">
        <f aca="false">(C120-F120)/F120</f>
        <v>-0.00826540892023082</v>
      </c>
      <c r="H120" s="21" t="n">
        <f aca="true">IF(COUNTIFS($B$2:B120,B120)&gt;=20,AVERAGE(OFFSET(C120,-19,0,20,1)),"")</f>
        <v>424.1655</v>
      </c>
      <c r="I120" s="21" t="str">
        <f aca="true">IF(COUNTIFS($B$2:B120,B120)&gt;=50,AVERAGE(OFFSET(C120,-49,0,50,1)),"")</f>
        <v/>
      </c>
    </row>
    <row r="121" customFormat="false" ht="15" hidden="false" customHeight="false" outlineLevel="0" collapsed="false">
      <c r="A121" s="17" t="n">
        <f aca="false">Cours_Bruts!A121</f>
        <v>45772</v>
      </c>
      <c r="B121" s="18" t="str">
        <f aca="false">Cours_Bruts!B121</f>
        <v>MSFT</v>
      </c>
      <c r="C121" s="19" t="n">
        <f aca="false">Cours_Bruts!C121</f>
        <v>436.98</v>
      </c>
      <c r="D121" s="20" t="n">
        <f aca="false">IF(B121=B120,(C121-C120)/C120,"")</f>
        <v>0.00884220247027598</v>
      </c>
      <c r="E121" s="20" t="n">
        <f aca="false">IF(B121=B120,(1+E120)*(1+IF(D121="",0,D121))-1,0)</f>
        <v>0.181027027027026</v>
      </c>
      <c r="F121" s="21" t="n">
        <f aca="false">IF(B121=B120,MAX(F120,C121),C121)</f>
        <v>436.98</v>
      </c>
      <c r="G121" s="20" t="n">
        <f aca="false">(C121-F121)/F121</f>
        <v>0</v>
      </c>
      <c r="H121" s="21" t="n">
        <f aca="true">IF(COUNTIFS($B$2:B121,B121)&gt;=20,AVERAGE(OFFSET(C121,-19,0,20,1)),"")</f>
        <v>425.105</v>
      </c>
      <c r="I121" s="21" t="str">
        <f aca="true">IF(COUNTIFS($B$2:B121,B121)&gt;=50,AVERAGE(OFFSET(C121,-49,0,50,1)),"")</f>
        <v/>
      </c>
    </row>
    <row r="122" customFormat="false" ht="15" hidden="false" customHeight="false" outlineLevel="0" collapsed="false">
      <c r="A122" s="17" t="n">
        <f aca="false">Cours_Bruts!A122</f>
        <v>45775</v>
      </c>
      <c r="B122" s="18" t="str">
        <f aca="false">Cours_Bruts!B122</f>
        <v>MSFT</v>
      </c>
      <c r="C122" s="19" t="n">
        <f aca="false">Cours_Bruts!C122</f>
        <v>436.21</v>
      </c>
      <c r="D122" s="20" t="n">
        <f aca="false">IF(B122=B121,(C122-C121)/C121,"")</f>
        <v>-0.00176209437502869</v>
      </c>
      <c r="E122" s="20" t="n">
        <f aca="false">IF(B122=B121,(1+E121)*(1+IF(D122="",0,D122))-1,0)</f>
        <v>0.178945945945945</v>
      </c>
      <c r="F122" s="21" t="n">
        <f aca="false">IF(B122=B121,MAX(F121,C122),C122)</f>
        <v>436.98</v>
      </c>
      <c r="G122" s="20" t="n">
        <f aca="false">(C122-F122)/F122</f>
        <v>-0.00176209437502869</v>
      </c>
      <c r="H122" s="21" t="n">
        <f aca="true">IF(COUNTIFS($B$2:B122,B122)&gt;=20,AVERAGE(OFFSET(C122,-19,0,20,1)),"")</f>
        <v>426.135</v>
      </c>
      <c r="I122" s="21" t="str">
        <f aca="true">IF(COUNTIFS($B$2:B122,B122)&gt;=50,AVERAGE(OFFSET(C122,-49,0,50,1)),"")</f>
        <v/>
      </c>
    </row>
    <row r="123" customFormat="false" ht="15" hidden="false" customHeight="false" outlineLevel="0" collapsed="false">
      <c r="A123" s="17" t="n">
        <f aca="false">Cours_Bruts!A123</f>
        <v>45776</v>
      </c>
      <c r="B123" s="18" t="str">
        <f aca="false">Cours_Bruts!B123</f>
        <v>MSFT</v>
      </c>
      <c r="C123" s="19" t="n">
        <f aca="false">Cours_Bruts!C123</f>
        <v>437.78</v>
      </c>
      <c r="D123" s="20" t="n">
        <f aca="false">IF(B123=B122,(C123-C122)/C122,"")</f>
        <v>0.00359918387932416</v>
      </c>
      <c r="E123" s="20" t="n">
        <f aca="false">IF(B123=B122,(1+E122)*(1+IF(D123="",0,D123))-1,0)</f>
        <v>0.183189189189188</v>
      </c>
      <c r="F123" s="21" t="n">
        <f aca="false">IF(B123=B122,MAX(F122,C123),C123)</f>
        <v>437.78</v>
      </c>
      <c r="G123" s="20" t="n">
        <f aca="false">(C123-F123)/F123</f>
        <v>0</v>
      </c>
      <c r="H123" s="21" t="n">
        <f aca="true">IF(COUNTIFS($B$2:B123,B123)&gt;=20,AVERAGE(OFFSET(C123,-19,0,20,1)),"")</f>
        <v>426.9385</v>
      </c>
      <c r="I123" s="21" t="str">
        <f aca="true">IF(COUNTIFS($B$2:B123,B123)&gt;=50,AVERAGE(OFFSET(C123,-49,0,50,1)),"")</f>
        <v/>
      </c>
    </row>
    <row r="124" customFormat="false" ht="15" hidden="false" customHeight="false" outlineLevel="0" collapsed="false">
      <c r="A124" s="17" t="n">
        <f aca="false">Cours_Bruts!A124</f>
        <v>45777</v>
      </c>
      <c r="B124" s="18" t="str">
        <f aca="false">Cours_Bruts!B124</f>
        <v>MSFT</v>
      </c>
      <c r="C124" s="19" t="n">
        <f aca="false">Cours_Bruts!C124</f>
        <v>444.97</v>
      </c>
      <c r="D124" s="20" t="n">
        <f aca="false">IF(B124=B123,(C124-C123)/C123,"")</f>
        <v>0.0164237744986067</v>
      </c>
      <c r="E124" s="20" t="n">
        <f aca="false">IF(B124=B123,(1+E123)*(1+IF(D124="",0,D124))-1,0)</f>
        <v>0.202621621621621</v>
      </c>
      <c r="F124" s="21" t="n">
        <f aca="false">IF(B124=B123,MAX(F123,C124),C124)</f>
        <v>444.97</v>
      </c>
      <c r="G124" s="20" t="n">
        <f aca="false">(C124-F124)/F124</f>
        <v>0</v>
      </c>
      <c r="H124" s="21" t="n">
        <f aca="true">IF(COUNTIFS($B$2:B124,B124)&gt;=20,AVERAGE(OFFSET(C124,-19,0,20,1)),"")</f>
        <v>427.8405</v>
      </c>
      <c r="I124" s="21" t="str">
        <f aca="true">IF(COUNTIFS($B$2:B124,B124)&gt;=50,AVERAGE(OFFSET(C124,-49,0,50,1)),"")</f>
        <v/>
      </c>
    </row>
    <row r="125" customFormat="false" ht="15" hidden="false" customHeight="false" outlineLevel="0" collapsed="false">
      <c r="A125" s="17" t="n">
        <f aca="false">Cours_Bruts!A125</f>
        <v>45778</v>
      </c>
      <c r="B125" s="18" t="str">
        <f aca="false">Cours_Bruts!B125</f>
        <v>MSFT</v>
      </c>
      <c r="C125" s="19" t="n">
        <f aca="false">Cours_Bruts!C125</f>
        <v>437.5</v>
      </c>
      <c r="D125" s="20" t="n">
        <f aca="false">IF(B125=B124,(C125-C124)/C124,"")</f>
        <v>-0.016787648605524</v>
      </c>
      <c r="E125" s="20" t="n">
        <f aca="false">IF(B125=B124,(1+E124)*(1+IF(D125="",0,D125))-1,0)</f>
        <v>0.182432432432432</v>
      </c>
      <c r="F125" s="21" t="n">
        <f aca="false">IF(B125=B124,MAX(F124,C125),C125)</f>
        <v>444.97</v>
      </c>
      <c r="G125" s="20" t="n">
        <f aca="false">(C125-F125)/F125</f>
        <v>-0.016787648605524</v>
      </c>
      <c r="H125" s="21" t="n">
        <f aca="true">IF(COUNTIFS($B$2:B125,B125)&gt;=20,AVERAGE(OFFSET(C125,-19,0,20,1)),"")</f>
        <v>428.688</v>
      </c>
      <c r="I125" s="21" t="str">
        <f aca="true">IF(COUNTIFS($B$2:B125,B125)&gt;=50,AVERAGE(OFFSET(C125,-49,0,50,1)),"")</f>
        <v/>
      </c>
    </row>
    <row r="126" customFormat="false" ht="15" hidden="false" customHeight="false" outlineLevel="0" collapsed="false">
      <c r="A126" s="17" t="n">
        <f aca="false">Cours_Bruts!A126</f>
        <v>45779</v>
      </c>
      <c r="B126" s="18" t="str">
        <f aca="false">Cours_Bruts!B126</f>
        <v>MSFT</v>
      </c>
      <c r="C126" s="19" t="n">
        <f aca="false">Cours_Bruts!C126</f>
        <v>438.55</v>
      </c>
      <c r="D126" s="20" t="n">
        <f aca="false">IF(B126=B125,(C126-C125)/C125,"")</f>
        <v>0.00240000000000003</v>
      </c>
      <c r="E126" s="20" t="n">
        <f aca="false">IF(B126=B125,(1+E125)*(1+IF(D126="",0,D126))-1,0)</f>
        <v>0.185270270270269</v>
      </c>
      <c r="F126" s="21" t="n">
        <f aca="false">IF(B126=B125,MAX(F125,C126),C126)</f>
        <v>444.97</v>
      </c>
      <c r="G126" s="20" t="n">
        <f aca="false">(C126-F126)/F126</f>
        <v>-0.0144279389621773</v>
      </c>
      <c r="H126" s="21" t="n">
        <f aca="true">IF(COUNTIFS($B$2:B126,B126)&gt;=20,AVERAGE(OFFSET(C126,-19,0,20,1)),"")</f>
        <v>429.759</v>
      </c>
      <c r="I126" s="21" t="str">
        <f aca="true">IF(COUNTIFS($B$2:B126,B126)&gt;=50,AVERAGE(OFFSET(C126,-49,0,50,1)),"")</f>
        <v/>
      </c>
    </row>
    <row r="127" customFormat="false" ht="15" hidden="false" customHeight="false" outlineLevel="0" collapsed="false">
      <c r="A127" s="17" t="n">
        <f aca="false">Cours_Bruts!A127</f>
        <v>45782</v>
      </c>
      <c r="B127" s="18" t="str">
        <f aca="false">Cours_Bruts!B127</f>
        <v>MSFT</v>
      </c>
      <c r="C127" s="19" t="n">
        <f aca="false">Cours_Bruts!C127</f>
        <v>439.59</v>
      </c>
      <c r="D127" s="20" t="n">
        <f aca="false">IF(B127=B126,(C127-C126)/C126,"")</f>
        <v>0.00237145137384554</v>
      </c>
      <c r="E127" s="20" t="n">
        <f aca="false">IF(B127=B126,(1+E126)*(1+IF(D127="",0,D127))-1,0)</f>
        <v>0.18808108108108</v>
      </c>
      <c r="F127" s="21" t="n">
        <f aca="false">IF(B127=B126,MAX(F126,C127),C127)</f>
        <v>444.97</v>
      </c>
      <c r="G127" s="20" t="n">
        <f aca="false">(C127-F127)/F127</f>
        <v>-0.0120907027440053</v>
      </c>
      <c r="H127" s="21" t="n">
        <f aca="true">IF(COUNTIFS($B$2:B127,B127)&gt;=20,AVERAGE(OFFSET(C127,-19,0,20,1)),"")</f>
        <v>430.4945</v>
      </c>
      <c r="I127" s="21" t="str">
        <f aca="true">IF(COUNTIFS($B$2:B127,B127)&gt;=50,AVERAGE(OFFSET(C127,-49,0,50,1)),"")</f>
        <v/>
      </c>
    </row>
    <row r="128" customFormat="false" ht="15" hidden="false" customHeight="false" outlineLevel="0" collapsed="false">
      <c r="A128" s="17" t="n">
        <f aca="false">Cours_Bruts!A128</f>
        <v>45783</v>
      </c>
      <c r="B128" s="18" t="str">
        <f aca="false">Cours_Bruts!B128</f>
        <v>MSFT</v>
      </c>
      <c r="C128" s="19" t="n">
        <f aca="false">Cours_Bruts!C128</f>
        <v>446.5</v>
      </c>
      <c r="D128" s="20" t="n">
        <f aca="false">IF(B128=B127,(C128-C127)/C127,"")</f>
        <v>0.0157191928842786</v>
      </c>
      <c r="E128" s="20" t="n">
        <f aca="false">IF(B128=B127,(1+E127)*(1+IF(D128="",0,D128))-1,0)</f>
        <v>0.206756756756756</v>
      </c>
      <c r="F128" s="21" t="n">
        <f aca="false">IF(B128=B127,MAX(F127,C128),C128)</f>
        <v>446.5</v>
      </c>
      <c r="G128" s="20" t="n">
        <f aca="false">(C128-F128)/F128</f>
        <v>0</v>
      </c>
      <c r="H128" s="21" t="n">
        <f aca="true">IF(COUNTIFS($B$2:B128,B128)&gt;=20,AVERAGE(OFFSET(C128,-19,0,20,1)),"")</f>
        <v>431.413</v>
      </c>
      <c r="I128" s="21" t="str">
        <f aca="true">IF(COUNTIFS($B$2:B128,B128)&gt;=50,AVERAGE(OFFSET(C128,-49,0,50,1)),"")</f>
        <v/>
      </c>
    </row>
    <row r="129" customFormat="false" ht="15" hidden="false" customHeight="false" outlineLevel="0" collapsed="false">
      <c r="A129" s="17" t="n">
        <f aca="false">Cours_Bruts!A129</f>
        <v>45784</v>
      </c>
      <c r="B129" s="18" t="str">
        <f aca="false">Cours_Bruts!B129</f>
        <v>MSFT</v>
      </c>
      <c r="C129" s="19" t="n">
        <f aca="false">Cours_Bruts!C129</f>
        <v>445.12</v>
      </c>
      <c r="D129" s="20" t="n">
        <f aca="false">IF(B129=B128,(C129-C128)/C128,"")</f>
        <v>-0.00309070548712205</v>
      </c>
      <c r="E129" s="20" t="n">
        <f aca="false">IF(B129=B128,(1+E128)*(1+IF(D129="",0,D129))-1,0)</f>
        <v>0.203027027027026</v>
      </c>
      <c r="F129" s="21" t="n">
        <f aca="false">IF(B129=B128,MAX(F128,C129),C129)</f>
        <v>446.5</v>
      </c>
      <c r="G129" s="20" t="n">
        <f aca="false">(C129-F129)/F129</f>
        <v>-0.00309070548712205</v>
      </c>
      <c r="H129" s="21" t="n">
        <f aca="true">IF(COUNTIFS($B$2:B129,B129)&gt;=20,AVERAGE(OFFSET(C129,-19,0,20,1)),"")</f>
        <v>433.115</v>
      </c>
      <c r="I129" s="21" t="str">
        <f aca="true">IF(COUNTIFS($B$2:B129,B129)&gt;=50,AVERAGE(OFFSET(C129,-49,0,50,1)),"")</f>
        <v/>
      </c>
    </row>
    <row r="130" customFormat="false" ht="15" hidden="false" customHeight="false" outlineLevel="0" collapsed="false">
      <c r="A130" s="17" t="n">
        <f aca="false">Cours_Bruts!A130</f>
        <v>45785</v>
      </c>
      <c r="B130" s="18" t="str">
        <f aca="false">Cours_Bruts!B130</f>
        <v>MSFT</v>
      </c>
      <c r="C130" s="19" t="n">
        <f aca="false">Cours_Bruts!C130</f>
        <v>450.17</v>
      </c>
      <c r="D130" s="20" t="n">
        <f aca="false">IF(B130=B129,(C130-C129)/C129,"")</f>
        <v>0.0113452552120777</v>
      </c>
      <c r="E130" s="20" t="n">
        <f aca="false">IF(B130=B129,(1+E129)*(1+IF(D130="",0,D130))-1,0)</f>
        <v>0.216675675675674</v>
      </c>
      <c r="F130" s="21" t="n">
        <f aca="false">IF(B130=B129,MAX(F129,C130),C130)</f>
        <v>450.17</v>
      </c>
      <c r="G130" s="20" t="n">
        <f aca="false">(C130-F130)/F130</f>
        <v>0</v>
      </c>
      <c r="H130" s="21" t="n">
        <f aca="true">IF(COUNTIFS($B$2:B130,B130)&gt;=20,AVERAGE(OFFSET(C130,-19,0,20,1)),"")</f>
        <v>434.894</v>
      </c>
      <c r="I130" s="21" t="str">
        <f aca="true">IF(COUNTIFS($B$2:B130,B130)&gt;=50,AVERAGE(OFFSET(C130,-49,0,50,1)),"")</f>
        <v/>
      </c>
    </row>
    <row r="131" customFormat="false" ht="15" hidden="false" customHeight="false" outlineLevel="0" collapsed="false">
      <c r="A131" s="17" t="n">
        <f aca="false">Cours_Bruts!A131</f>
        <v>45786</v>
      </c>
      <c r="B131" s="18" t="str">
        <f aca="false">Cours_Bruts!B131</f>
        <v>MSFT</v>
      </c>
      <c r="C131" s="19" t="n">
        <f aca="false">Cours_Bruts!C131</f>
        <v>458.58</v>
      </c>
      <c r="D131" s="20" t="n">
        <f aca="false">IF(B131=B130,(C131-C130)/C130,"")</f>
        <v>0.0186818313081724</v>
      </c>
      <c r="E131" s="20" t="n">
        <f aca="false">IF(B131=B130,(1+E130)*(1+IF(D131="",0,D131))-1,0)</f>
        <v>0.239405405405404</v>
      </c>
      <c r="F131" s="21" t="n">
        <f aca="false">IF(B131=B130,MAX(F130,C131),C131)</f>
        <v>458.58</v>
      </c>
      <c r="G131" s="20" t="n">
        <f aca="false">(C131-F131)/F131</f>
        <v>0</v>
      </c>
      <c r="H131" s="21" t="n">
        <f aca="true">IF(COUNTIFS($B$2:B131,B131)&gt;=20,AVERAGE(OFFSET(C131,-19,0,20,1)),"")</f>
        <v>436.7655</v>
      </c>
      <c r="I131" s="21" t="n">
        <f aca="true">IF(COUNTIFS($B$2:B131,B131)&gt;=50,AVERAGE(OFFSET(C131,-49,0,50,1)),"")</f>
        <v>416.2886</v>
      </c>
    </row>
    <row r="132" customFormat="false" ht="15" hidden="false" customHeight="false" outlineLevel="0" collapsed="false">
      <c r="A132" s="17" t="n">
        <f aca="false">Cours_Bruts!A132</f>
        <v>45789</v>
      </c>
      <c r="B132" s="18" t="str">
        <f aca="false">Cours_Bruts!B132</f>
        <v>MSFT</v>
      </c>
      <c r="C132" s="19" t="n">
        <f aca="false">Cours_Bruts!C132</f>
        <v>444.98</v>
      </c>
      <c r="D132" s="20" t="n">
        <f aca="false">IF(B132=B131,(C132-C131)/C131,"")</f>
        <v>-0.0296567665401892</v>
      </c>
      <c r="E132" s="20" t="n">
        <f aca="false">IF(B132=B131,(1+E131)*(1+IF(D132="",0,D132))-1,0)</f>
        <v>0.202648648648648</v>
      </c>
      <c r="F132" s="21" t="n">
        <f aca="false">IF(B132=B131,MAX(F131,C132),C132)</f>
        <v>458.58</v>
      </c>
      <c r="G132" s="20" t="n">
        <f aca="false">(C132-F132)/F132</f>
        <v>-0.0296567665401892</v>
      </c>
      <c r="H132" s="21" t="n">
        <f aca="true">IF(COUNTIFS($B$2:B132,B132)&gt;=20,AVERAGE(OFFSET(C132,-19,0,20,1)),"")</f>
        <v>438.2325</v>
      </c>
      <c r="I132" s="21" t="n">
        <f aca="true">IF(COUNTIFS($B$2:B132,B132)&gt;=50,AVERAGE(OFFSET(C132,-49,0,50,1)),"")</f>
        <v>417.7882</v>
      </c>
    </row>
    <row r="133" customFormat="false" ht="15" hidden="false" customHeight="false" outlineLevel="0" collapsed="false">
      <c r="A133" s="17" t="n">
        <f aca="false">Cours_Bruts!A133</f>
        <v>45790</v>
      </c>
      <c r="B133" s="18" t="str">
        <f aca="false">Cours_Bruts!B133</f>
        <v>MSFT</v>
      </c>
      <c r="C133" s="19" t="n">
        <f aca="false">Cours_Bruts!C133</f>
        <v>453.78</v>
      </c>
      <c r="D133" s="20" t="n">
        <f aca="false">IF(B133=B132,(C133-C132)/C132,"")</f>
        <v>0.0197761697154927</v>
      </c>
      <c r="E133" s="20" t="n">
        <f aca="false">IF(B133=B132,(1+E132)*(1+IF(D133="",0,D133))-1,0)</f>
        <v>0.226432432432431</v>
      </c>
      <c r="F133" s="21" t="n">
        <f aca="false">IF(B133=B132,MAX(F132,C133),C133)</f>
        <v>458.58</v>
      </c>
      <c r="G133" s="20" t="n">
        <f aca="false">(C133-F133)/F133</f>
        <v>-0.010467094073008</v>
      </c>
      <c r="H133" s="21" t="n">
        <f aca="true">IF(COUNTIFS($B$2:B133,B133)&gt;=20,AVERAGE(OFFSET(C133,-19,0,20,1)),"")</f>
        <v>439.896</v>
      </c>
      <c r="I133" s="21" t="n">
        <f aca="true">IF(COUNTIFS($B$2:B133,B133)&gt;=50,AVERAGE(OFFSET(C133,-49,0,50,1)),"")</f>
        <v>419.4884</v>
      </c>
    </row>
    <row r="134" customFormat="false" ht="15" hidden="false" customHeight="false" outlineLevel="0" collapsed="false">
      <c r="A134" s="17" t="n">
        <f aca="false">Cours_Bruts!A134</f>
        <v>45791</v>
      </c>
      <c r="B134" s="18" t="str">
        <f aca="false">Cours_Bruts!B134</f>
        <v>MSFT</v>
      </c>
      <c r="C134" s="19" t="n">
        <f aca="false">Cours_Bruts!C134</f>
        <v>446.74</v>
      </c>
      <c r="D134" s="20" t="n">
        <f aca="false">IF(B134=B133,(C134-C133)/C133,"")</f>
        <v>-0.0155141257878266</v>
      </c>
      <c r="E134" s="20" t="n">
        <f aca="false">IF(B134=B133,(1+E133)*(1+IF(D134="",0,D134))-1,0)</f>
        <v>0.207405405405404</v>
      </c>
      <c r="F134" s="21" t="n">
        <f aca="false">IF(B134=B133,MAX(F133,C134),C134)</f>
        <v>458.58</v>
      </c>
      <c r="G134" s="20" t="n">
        <f aca="false">(C134-F134)/F134</f>
        <v>-0.025818832046753</v>
      </c>
      <c r="H134" s="21" t="n">
        <f aca="true">IF(COUNTIFS($B$2:B134,B134)&gt;=20,AVERAGE(OFFSET(C134,-19,0,20,1)),"")</f>
        <v>440.5495</v>
      </c>
      <c r="I134" s="21" t="n">
        <f aca="true">IF(COUNTIFS($B$2:B134,B134)&gt;=50,AVERAGE(OFFSET(C134,-49,0,50,1)),"")</f>
        <v>420.87</v>
      </c>
    </row>
    <row r="135" customFormat="false" ht="15" hidden="false" customHeight="false" outlineLevel="0" collapsed="false">
      <c r="A135" s="17" t="n">
        <f aca="false">Cours_Bruts!A135</f>
        <v>45792</v>
      </c>
      <c r="B135" s="18" t="str">
        <f aca="false">Cours_Bruts!B135</f>
        <v>MSFT</v>
      </c>
      <c r="C135" s="19" t="n">
        <f aca="false">Cours_Bruts!C135</f>
        <v>439.02</v>
      </c>
      <c r="D135" s="20" t="n">
        <f aca="false">IF(B135=B134,(C135-C134)/C134,"")</f>
        <v>-0.0172807449523213</v>
      </c>
      <c r="E135" s="20" t="n">
        <f aca="false">IF(B135=B134,(1+E134)*(1+IF(D135="",0,D135))-1,0)</f>
        <v>0.186540540540539</v>
      </c>
      <c r="F135" s="21" t="n">
        <f aca="false">IF(B135=B134,MAX(F134,C135),C135)</f>
        <v>458.58</v>
      </c>
      <c r="G135" s="20" t="n">
        <f aca="false">(C135-F135)/F135</f>
        <v>-0.0426534083475075</v>
      </c>
      <c r="H135" s="21" t="n">
        <f aca="true">IF(COUNTIFS($B$2:B135,B135)&gt;=20,AVERAGE(OFFSET(C135,-19,0,20,1)),"")</f>
        <v>440.6625</v>
      </c>
      <c r="I135" s="21" t="n">
        <f aca="true">IF(COUNTIFS($B$2:B135,B135)&gt;=50,AVERAGE(OFFSET(C135,-49,0,50,1)),"")</f>
        <v>421.9604</v>
      </c>
    </row>
    <row r="136" customFormat="false" ht="15" hidden="false" customHeight="false" outlineLevel="0" collapsed="false">
      <c r="A136" s="17" t="n">
        <f aca="false">Cours_Bruts!A136</f>
        <v>45793</v>
      </c>
      <c r="B136" s="18" t="str">
        <f aca="false">Cours_Bruts!B136</f>
        <v>MSFT</v>
      </c>
      <c r="C136" s="19" t="n">
        <f aca="false">Cours_Bruts!C136</f>
        <v>418.6</v>
      </c>
      <c r="D136" s="20" t="n">
        <f aca="false">IF(B136=B135,(C136-C135)/C135,"")</f>
        <v>-0.0465126873490956</v>
      </c>
      <c r="E136" s="20" t="n">
        <f aca="false">IF(B136=B135,(1+E135)*(1+IF(D136="",0,D136))-1,0)</f>
        <v>0.13135135135135</v>
      </c>
      <c r="F136" s="21" t="n">
        <f aca="false">IF(B136=B135,MAX(F135,C136),C136)</f>
        <v>458.58</v>
      </c>
      <c r="G136" s="20" t="n">
        <f aca="false">(C136-F136)/F136</f>
        <v>-0.0871821710497622</v>
      </c>
      <c r="H136" s="21" t="n">
        <f aca="true">IF(COUNTIFS($B$2:B136,B136)&gt;=20,AVERAGE(OFFSET(C136,-19,0,20,1)),"")</f>
        <v>439.9645</v>
      </c>
      <c r="I136" s="21" t="n">
        <f aca="true">IF(COUNTIFS($B$2:B136,B136)&gt;=50,AVERAGE(OFFSET(C136,-49,0,50,1)),"")</f>
        <v>422.9522</v>
      </c>
    </row>
    <row r="137" customFormat="false" ht="15" hidden="false" customHeight="false" outlineLevel="0" collapsed="false">
      <c r="A137" s="17" t="n">
        <f aca="false">Cours_Bruts!A137</f>
        <v>45796</v>
      </c>
      <c r="B137" s="18" t="str">
        <f aca="false">Cours_Bruts!B137</f>
        <v>MSFT</v>
      </c>
      <c r="C137" s="19" t="n">
        <f aca="false">Cours_Bruts!C137</f>
        <v>413.36</v>
      </c>
      <c r="D137" s="20" t="n">
        <f aca="false">IF(B137=B136,(C137-C136)/C136,"")</f>
        <v>-0.012517916865743</v>
      </c>
      <c r="E137" s="20" t="n">
        <f aca="false">IF(B137=B136,(1+E136)*(1+IF(D137="",0,D137))-1,0)</f>
        <v>0.117189189189188</v>
      </c>
      <c r="F137" s="21" t="n">
        <f aca="false">IF(B137=B136,MAX(F136,C137),C137)</f>
        <v>458.58</v>
      </c>
      <c r="G137" s="20" t="n">
        <f aca="false">(C137-F137)/F137</f>
        <v>-0.0986087487461293</v>
      </c>
      <c r="H137" s="21" t="n">
        <f aca="true">IF(COUNTIFS($B$2:B137,B137)&gt;=20,AVERAGE(OFFSET(C137,-19,0,20,1)),"")</f>
        <v>439.1755</v>
      </c>
      <c r="I137" s="21" t="n">
        <f aca="true">IF(COUNTIFS($B$2:B137,B137)&gt;=50,AVERAGE(OFFSET(C137,-49,0,50,1)),"")</f>
        <v>423.6556</v>
      </c>
    </row>
    <row r="138" customFormat="false" ht="15" hidden="false" customHeight="false" outlineLevel="0" collapsed="false">
      <c r="A138" s="17" t="n">
        <f aca="false">Cours_Bruts!A138</f>
        <v>45797</v>
      </c>
      <c r="B138" s="18" t="str">
        <f aca="false">Cours_Bruts!B138</f>
        <v>MSFT</v>
      </c>
      <c r="C138" s="19" t="n">
        <f aca="false">Cours_Bruts!C138</f>
        <v>413.59</v>
      </c>
      <c r="D138" s="20" t="n">
        <f aca="false">IF(B138=B137,(C138-C137)/C137,"")</f>
        <v>0.00055641571511506</v>
      </c>
      <c r="E138" s="20" t="n">
        <f aca="false">IF(B138=B137,(1+E137)*(1+IF(D138="",0,D138))-1,0)</f>
        <v>0.11781081081081</v>
      </c>
      <c r="F138" s="21" t="n">
        <f aca="false">IF(B138=B137,MAX(F137,C138),C138)</f>
        <v>458.58</v>
      </c>
      <c r="G138" s="20" t="n">
        <f aca="false">(C138-F138)/F138</f>
        <v>-0.0981072004884644</v>
      </c>
      <c r="H138" s="21" t="n">
        <f aca="true">IF(COUNTIFS($B$2:B138,B138)&gt;=20,AVERAGE(OFFSET(C138,-19,0,20,1)),"")</f>
        <v>438.38</v>
      </c>
      <c r="I138" s="21" t="n">
        <f aca="true">IF(COUNTIFS($B$2:B138,B138)&gt;=50,AVERAGE(OFFSET(C138,-49,0,50,1)),"")</f>
        <v>424.0914</v>
      </c>
    </row>
    <row r="139" customFormat="false" ht="15" hidden="false" customHeight="false" outlineLevel="0" collapsed="false">
      <c r="A139" s="17" t="n">
        <f aca="false">Cours_Bruts!A139</f>
        <v>45798</v>
      </c>
      <c r="B139" s="18" t="str">
        <f aca="false">Cours_Bruts!B139</f>
        <v>MSFT</v>
      </c>
      <c r="C139" s="19" t="n">
        <f aca="false">Cours_Bruts!C139</f>
        <v>411.25</v>
      </c>
      <c r="D139" s="20" t="n">
        <f aca="false">IF(B139=B138,(C139-C138)/C138,"")</f>
        <v>-0.00565777702555665</v>
      </c>
      <c r="E139" s="20" t="n">
        <f aca="false">IF(B139=B138,(1+E138)*(1+IF(D139="",0,D139))-1,0)</f>
        <v>0.111486486486485</v>
      </c>
      <c r="F139" s="21" t="n">
        <f aca="false">IF(B139=B138,MAX(F138,C139),C139)</f>
        <v>458.58</v>
      </c>
      <c r="G139" s="20" t="n">
        <f aca="false">(C139-F139)/F139</f>
        <v>-0.103209908849056</v>
      </c>
      <c r="H139" s="21" t="n">
        <f aca="true">IF(COUNTIFS($B$2:B139,B139)&gt;=20,AVERAGE(OFFSET(C139,-19,0,20,1)),"")</f>
        <v>437.321</v>
      </c>
      <c r="I139" s="21" t="n">
        <f aca="true">IF(COUNTIFS($B$2:B139,B139)&gt;=50,AVERAGE(OFFSET(C139,-49,0,50,1)),"")</f>
        <v>424.3174</v>
      </c>
    </row>
    <row r="140" customFormat="false" ht="15" hidden="false" customHeight="false" outlineLevel="0" collapsed="false">
      <c r="A140" s="17" t="n">
        <f aca="false">Cours_Bruts!A140</f>
        <v>45799</v>
      </c>
      <c r="B140" s="18" t="str">
        <f aca="false">Cours_Bruts!B140</f>
        <v>MSFT</v>
      </c>
      <c r="C140" s="19" t="n">
        <f aca="false">Cours_Bruts!C140</f>
        <v>408.4</v>
      </c>
      <c r="D140" s="20" t="n">
        <f aca="false">IF(B140=B139,(C140-C139)/C139,"")</f>
        <v>-0.00693009118541039</v>
      </c>
      <c r="E140" s="20" t="n">
        <f aca="false">IF(B140=B139,(1+E139)*(1+IF(D140="",0,D140))-1,0)</f>
        <v>0.103783783783783</v>
      </c>
      <c r="F140" s="21" t="n">
        <f aca="false">IF(B140=B139,MAX(F139,C140),C140)</f>
        <v>458.58</v>
      </c>
      <c r="G140" s="20" t="n">
        <f aca="false">(C140-F140)/F140</f>
        <v>-0.109424745954904</v>
      </c>
      <c r="H140" s="21" t="n">
        <f aca="true">IF(COUNTIFS($B$2:B140,B140)&gt;=20,AVERAGE(OFFSET(C140,-19,0,20,1)),"")</f>
        <v>436.0835</v>
      </c>
      <c r="I140" s="21" t="n">
        <f aca="true">IF(COUNTIFS($B$2:B140,B140)&gt;=50,AVERAGE(OFFSET(C140,-49,0,50,1)),"")</f>
        <v>424.5094</v>
      </c>
    </row>
    <row r="141" customFormat="false" ht="15" hidden="false" customHeight="false" outlineLevel="0" collapsed="false">
      <c r="A141" s="17" t="n">
        <f aca="false">Cours_Bruts!A141</f>
        <v>45800</v>
      </c>
      <c r="B141" s="18" t="str">
        <f aca="false">Cours_Bruts!B141</f>
        <v>MSFT</v>
      </c>
      <c r="C141" s="19" t="n">
        <f aca="false">Cours_Bruts!C141</f>
        <v>401.22</v>
      </c>
      <c r="D141" s="20" t="n">
        <f aca="false">IF(B141=B140,(C141-C140)/C140,"")</f>
        <v>-0.0175808031341821</v>
      </c>
      <c r="E141" s="20" t="n">
        <f aca="false">IF(B141=B140,(1+E140)*(1+IF(D141="",0,D141))-1,0)</f>
        <v>0.0843783783783771</v>
      </c>
      <c r="F141" s="21" t="n">
        <f aca="false">IF(B141=B140,MAX(F140,C141),C141)</f>
        <v>458.58</v>
      </c>
      <c r="G141" s="20" t="n">
        <f aca="false">(C141-F141)/F141</f>
        <v>-0.125081774172445</v>
      </c>
      <c r="H141" s="21" t="n">
        <f aca="true">IF(COUNTIFS($B$2:B141,B141)&gt;=20,AVERAGE(OFFSET(C141,-19,0,20,1)),"")</f>
        <v>434.2955</v>
      </c>
      <c r="I141" s="21" t="n">
        <f aca="true">IF(COUNTIFS($B$2:B141,B141)&gt;=50,AVERAGE(OFFSET(C141,-49,0,50,1)),"")</f>
        <v>424.6428</v>
      </c>
    </row>
    <row r="142" customFormat="false" ht="15" hidden="false" customHeight="false" outlineLevel="0" collapsed="false">
      <c r="A142" s="17" t="n">
        <f aca="false">Cours_Bruts!A142</f>
        <v>45803</v>
      </c>
      <c r="B142" s="18" t="str">
        <f aca="false">Cours_Bruts!B142</f>
        <v>MSFT</v>
      </c>
      <c r="C142" s="19" t="n">
        <f aca="false">Cours_Bruts!C142</f>
        <v>407.17</v>
      </c>
      <c r="D142" s="20" t="n">
        <f aca="false">IF(B142=B141,(C142-C141)/C141,"")</f>
        <v>0.014829769203928</v>
      </c>
      <c r="E142" s="20" t="n">
        <f aca="false">IF(B142=B141,(1+E141)*(1+IF(D142="",0,D142))-1,0)</f>
        <v>0.100459459459458</v>
      </c>
      <c r="F142" s="21" t="n">
        <f aca="false">IF(B142=B141,MAX(F141,C142),C142)</f>
        <v>458.58</v>
      </c>
      <c r="G142" s="20" t="n">
        <f aca="false">(C142-F142)/F142</f>
        <v>-0.112106938811113</v>
      </c>
      <c r="H142" s="21" t="n">
        <f aca="true">IF(COUNTIFS($B$2:B142,B142)&gt;=20,AVERAGE(OFFSET(C142,-19,0,20,1)),"")</f>
        <v>432.8435</v>
      </c>
      <c r="I142" s="21" t="n">
        <f aca="true">IF(COUNTIFS($B$2:B142,B142)&gt;=50,AVERAGE(OFFSET(C142,-49,0,50,1)),"")</f>
        <v>424.796</v>
      </c>
    </row>
    <row r="143" customFormat="false" ht="15" hidden="false" customHeight="false" outlineLevel="0" collapsed="false">
      <c r="A143" s="17" t="n">
        <f aca="false">Cours_Bruts!A143</f>
        <v>45804</v>
      </c>
      <c r="B143" s="18" t="str">
        <f aca="false">Cours_Bruts!B143</f>
        <v>MSFT</v>
      </c>
      <c r="C143" s="19" t="n">
        <f aca="false">Cours_Bruts!C143</f>
        <v>413.82</v>
      </c>
      <c r="D143" s="20" t="n">
        <f aca="false">IF(B143=B142,(C143-C142)/C142,"")</f>
        <v>0.0163322445170321</v>
      </c>
      <c r="E143" s="20" t="n">
        <f aca="false">IF(B143=B142,(1+E142)*(1+IF(D143="",0,D143))-1,0)</f>
        <v>0.118432432432431</v>
      </c>
      <c r="F143" s="21" t="n">
        <f aca="false">IF(B143=B142,MAX(F142,C143),C143)</f>
        <v>458.58</v>
      </c>
      <c r="G143" s="20" t="n">
        <f aca="false">(C143-F143)/F143</f>
        <v>-0.0976056522307994</v>
      </c>
      <c r="H143" s="21" t="n">
        <f aca="true">IF(COUNTIFS($B$2:B143,B143)&gt;=20,AVERAGE(OFFSET(C143,-19,0,20,1)),"")</f>
        <v>431.6455</v>
      </c>
      <c r="I143" s="21" t="n">
        <f aca="true">IF(COUNTIFS($B$2:B143,B143)&gt;=50,AVERAGE(OFFSET(C143,-49,0,50,1)),"")</f>
        <v>425.1582</v>
      </c>
    </row>
    <row r="144" customFormat="false" ht="15" hidden="false" customHeight="false" outlineLevel="0" collapsed="false">
      <c r="A144" s="17" t="n">
        <f aca="false">Cours_Bruts!A144</f>
        <v>45805</v>
      </c>
      <c r="B144" s="18" t="str">
        <f aca="false">Cours_Bruts!B144</f>
        <v>MSFT</v>
      </c>
      <c r="C144" s="19" t="n">
        <f aca="false">Cours_Bruts!C144</f>
        <v>416.92</v>
      </c>
      <c r="D144" s="20" t="n">
        <f aca="false">IF(B144=B143,(C144-C143)/C143,"")</f>
        <v>0.00749117973998362</v>
      </c>
      <c r="E144" s="20" t="n">
        <f aca="false">IF(B144=B143,(1+E143)*(1+IF(D144="",0,D144))-1,0)</f>
        <v>0.12681081081081</v>
      </c>
      <c r="F144" s="21" t="n">
        <f aca="false">IF(B144=B143,MAX(F143,C144),C144)</f>
        <v>458.58</v>
      </c>
      <c r="G144" s="20" t="n">
        <f aca="false">(C144-F144)/F144</f>
        <v>-0.090845653975315</v>
      </c>
      <c r="H144" s="21" t="n">
        <f aca="true">IF(COUNTIFS($B$2:B144,B144)&gt;=20,AVERAGE(OFFSET(C144,-19,0,20,1)),"")</f>
        <v>430.243</v>
      </c>
      <c r="I144" s="21" t="n">
        <f aca="true">IF(COUNTIFS($B$2:B144,B144)&gt;=50,AVERAGE(OFFSET(C144,-49,0,50,1)),"")</f>
        <v>425.5312</v>
      </c>
    </row>
    <row r="145" customFormat="false" ht="15" hidden="false" customHeight="false" outlineLevel="0" collapsed="false">
      <c r="A145" s="17" t="n">
        <f aca="false">Cours_Bruts!A145</f>
        <v>45806</v>
      </c>
      <c r="B145" s="18" t="str">
        <f aca="false">Cours_Bruts!B145</f>
        <v>MSFT</v>
      </c>
      <c r="C145" s="19" t="n">
        <f aca="false">Cours_Bruts!C145</f>
        <v>404.3</v>
      </c>
      <c r="D145" s="20" t="n">
        <f aca="false">IF(B145=B144,(C145-C144)/C144,"")</f>
        <v>-0.03026959608558</v>
      </c>
      <c r="E145" s="20" t="n">
        <f aca="false">IF(B145=B144,(1+E144)*(1+IF(D145="",0,D145))-1,0)</f>
        <v>0.0927027027027019</v>
      </c>
      <c r="F145" s="21" t="n">
        <f aca="false">IF(B145=B144,MAX(F144,C145),C145)</f>
        <v>458.58</v>
      </c>
      <c r="G145" s="20" t="n">
        <f aca="false">(C145-F145)/F145</f>
        <v>-0.118365388808932</v>
      </c>
      <c r="H145" s="21" t="n">
        <f aca="true">IF(COUNTIFS($B$2:B145,B145)&gt;=20,AVERAGE(OFFSET(C145,-19,0,20,1)),"")</f>
        <v>428.583</v>
      </c>
      <c r="I145" s="21" t="n">
        <f aca="true">IF(COUNTIFS($B$2:B145,B145)&gt;=50,AVERAGE(OFFSET(C145,-49,0,50,1)),"")</f>
        <v>425.6496</v>
      </c>
    </row>
    <row r="146" customFormat="false" ht="15" hidden="false" customHeight="false" outlineLevel="0" collapsed="false">
      <c r="A146" s="17" t="n">
        <f aca="false">Cours_Bruts!A146</f>
        <v>45807</v>
      </c>
      <c r="B146" s="18" t="str">
        <f aca="false">Cours_Bruts!B146</f>
        <v>MSFT</v>
      </c>
      <c r="C146" s="19" t="n">
        <f aca="false">Cours_Bruts!C146</f>
        <v>419.61</v>
      </c>
      <c r="D146" s="20" t="n">
        <f aca="false">IF(B146=B145,(C146-C145)/C145,"")</f>
        <v>0.037867919861489</v>
      </c>
      <c r="E146" s="20" t="n">
        <f aca="false">IF(B146=B145,(1+E145)*(1+IF(D146="",0,D146))-1,0)</f>
        <v>0.13408108108108</v>
      </c>
      <c r="F146" s="21" t="n">
        <f aca="false">IF(B146=B145,MAX(F145,C146),C146)</f>
        <v>458.58</v>
      </c>
      <c r="G146" s="20" t="n">
        <f aca="false">(C146-F146)/F146</f>
        <v>-0.0849797200052335</v>
      </c>
      <c r="H146" s="21" t="n">
        <f aca="true">IF(COUNTIFS($B$2:B146,B146)&gt;=20,AVERAGE(OFFSET(C146,-19,0,20,1)),"")</f>
        <v>427.636</v>
      </c>
      <c r="I146" s="21" t="n">
        <f aca="true">IF(COUNTIFS($B$2:B146,B146)&gt;=50,AVERAGE(OFFSET(C146,-49,0,50,1)),"")</f>
        <v>425.9102</v>
      </c>
    </row>
    <row r="147" customFormat="false" ht="15" hidden="false" customHeight="false" outlineLevel="0" collapsed="false">
      <c r="A147" s="17" t="n">
        <f aca="false">Cours_Bruts!A147</f>
        <v>45810</v>
      </c>
      <c r="B147" s="18" t="str">
        <f aca="false">Cours_Bruts!B147</f>
        <v>MSFT</v>
      </c>
      <c r="C147" s="19" t="n">
        <f aca="false">Cours_Bruts!C147</f>
        <v>420.89</v>
      </c>
      <c r="D147" s="20" t="n">
        <f aca="false">IF(B147=B146,(C147-C146)/C146,"")</f>
        <v>0.00305045160982811</v>
      </c>
      <c r="E147" s="20" t="n">
        <f aca="false">IF(B147=B146,(1+E146)*(1+IF(D147="",0,D147))-1,0)</f>
        <v>0.13754054054054</v>
      </c>
      <c r="F147" s="21" t="n">
        <f aca="false">IF(B147=B146,MAX(F146,C147),C147)</f>
        <v>458.58</v>
      </c>
      <c r="G147" s="20" t="n">
        <f aca="false">(C147-F147)/F147</f>
        <v>-0.0821884949190981</v>
      </c>
      <c r="H147" s="21" t="n">
        <f aca="true">IF(COUNTIFS($B$2:B147,B147)&gt;=20,AVERAGE(OFFSET(C147,-19,0,20,1)),"")</f>
        <v>426.701</v>
      </c>
      <c r="I147" s="21" t="n">
        <f aca="true">IF(COUNTIFS($B$2:B147,B147)&gt;=50,AVERAGE(OFFSET(C147,-49,0,50,1)),"")</f>
        <v>426.2432</v>
      </c>
    </row>
    <row r="148" customFormat="false" ht="15" hidden="false" customHeight="false" outlineLevel="0" collapsed="false">
      <c r="A148" s="17" t="n">
        <f aca="false">Cours_Bruts!A148</f>
        <v>45811</v>
      </c>
      <c r="B148" s="18" t="str">
        <f aca="false">Cours_Bruts!B148</f>
        <v>MSFT</v>
      </c>
      <c r="C148" s="19" t="n">
        <f aca="false">Cours_Bruts!C148</f>
        <v>424.87</v>
      </c>
      <c r="D148" s="20" t="n">
        <f aca="false">IF(B148=B147,(C148-C147)/C147,"")</f>
        <v>0.00945615243887956</v>
      </c>
      <c r="E148" s="20" t="n">
        <f aca="false">IF(B148=B147,(1+E147)*(1+IF(D148="",0,D148))-1,0)</f>
        <v>0.148297297297297</v>
      </c>
      <c r="F148" s="21" t="n">
        <f aca="false">IF(B148=B147,MAX(F147,C148),C148)</f>
        <v>458.58</v>
      </c>
      <c r="G148" s="20" t="n">
        <f aca="false">(C148-F148)/F148</f>
        <v>-0.0735095294168956</v>
      </c>
      <c r="H148" s="21" t="n">
        <f aca="true">IF(COUNTIFS($B$2:B148,B148)&gt;=20,AVERAGE(OFFSET(C148,-19,0,20,1)),"")</f>
        <v>425.6195</v>
      </c>
      <c r="I148" s="21" t="n">
        <f aca="true">IF(COUNTIFS($B$2:B148,B148)&gt;=50,AVERAGE(OFFSET(C148,-49,0,50,1)),"")</f>
        <v>426.7092</v>
      </c>
    </row>
    <row r="149" customFormat="false" ht="15" hidden="false" customHeight="false" outlineLevel="0" collapsed="false">
      <c r="A149" s="17" t="n">
        <f aca="false">Cours_Bruts!A149</f>
        <v>45812</v>
      </c>
      <c r="B149" s="18" t="str">
        <f aca="false">Cours_Bruts!B149</f>
        <v>MSFT</v>
      </c>
      <c r="C149" s="19" t="n">
        <f aca="false">Cours_Bruts!C149</f>
        <v>414.72</v>
      </c>
      <c r="D149" s="20" t="n">
        <f aca="false">IF(B149=B148,(C149-C148)/C148,"")</f>
        <v>-0.0238896603667003</v>
      </c>
      <c r="E149" s="20" t="n">
        <f aca="false">IF(B149=B148,(1+E148)*(1+IF(D149="",0,D149))-1,0)</f>
        <v>0.120864864864864</v>
      </c>
      <c r="F149" s="21" t="n">
        <f aca="false">IF(B149=B148,MAX(F148,C149),C149)</f>
        <v>458.58</v>
      </c>
      <c r="G149" s="20" t="n">
        <f aca="false">(C149-F149)/F149</f>
        <v>-0.0956430720921103</v>
      </c>
      <c r="H149" s="21" t="n">
        <f aca="true">IF(COUNTIFS($B$2:B149,B149)&gt;=20,AVERAGE(OFFSET(C149,-19,0,20,1)),"")</f>
        <v>424.0995</v>
      </c>
      <c r="I149" s="21" t="n">
        <f aca="true">IF(COUNTIFS($B$2:B149,B149)&gt;=50,AVERAGE(OFFSET(C149,-49,0,50,1)),"")</f>
        <v>426.9174</v>
      </c>
    </row>
    <row r="150" customFormat="false" ht="15" hidden="false" customHeight="false" outlineLevel="0" collapsed="false">
      <c r="A150" s="17" t="n">
        <f aca="false">Cours_Bruts!A150</f>
        <v>45813</v>
      </c>
      <c r="B150" s="18" t="str">
        <f aca="false">Cours_Bruts!B150</f>
        <v>MSFT</v>
      </c>
      <c r="C150" s="19" t="n">
        <f aca="false">Cours_Bruts!C150</f>
        <v>414.9</v>
      </c>
      <c r="D150" s="20" t="n">
        <f aca="false">IF(B150=B149,(C150-C149)/C149,"")</f>
        <v>0.000434027777777657</v>
      </c>
      <c r="E150" s="20" t="n">
        <f aca="false">IF(B150=B149,(1+E149)*(1+IF(D150="",0,D150))-1,0)</f>
        <v>0.121351351351351</v>
      </c>
      <c r="F150" s="21" t="n">
        <f aca="false">IF(B150=B149,MAX(F149,C150),C150)</f>
        <v>458.58</v>
      </c>
      <c r="G150" s="20" t="n">
        <f aca="false">(C150-F150)/F150</f>
        <v>-0.0952505560643727</v>
      </c>
      <c r="H150" s="21" t="n">
        <f aca="true">IF(COUNTIFS($B$2:B150,B150)&gt;=20,AVERAGE(OFFSET(C150,-19,0,20,1)),"")</f>
        <v>422.336</v>
      </c>
      <c r="I150" s="21" t="n">
        <f aca="true">IF(COUNTIFS($B$2:B150,B150)&gt;=50,AVERAGE(OFFSET(C150,-49,0,50,1)),"")</f>
        <v>426.868</v>
      </c>
    </row>
    <row r="151" customFormat="false" ht="15" hidden="false" customHeight="false" outlineLevel="0" collapsed="false">
      <c r="A151" s="17" t="n">
        <f aca="false">Cours_Bruts!A151</f>
        <v>45814</v>
      </c>
      <c r="B151" s="18" t="str">
        <f aca="false">Cours_Bruts!B151</f>
        <v>MSFT</v>
      </c>
      <c r="C151" s="19" t="n">
        <f aca="false">Cours_Bruts!C151</f>
        <v>417.97</v>
      </c>
      <c r="D151" s="20" t="n">
        <f aca="false">IF(B151=B150,(C151-C150)/C150,"")</f>
        <v>0.00739937334297433</v>
      </c>
      <c r="E151" s="20" t="n">
        <f aca="false">IF(B151=B150,(1+E150)*(1+IF(D151="",0,D151))-1,0)</f>
        <v>0.129648648648648</v>
      </c>
      <c r="F151" s="21" t="n">
        <f aca="false">IF(B151=B150,MAX(F150,C151),C151)</f>
        <v>458.58</v>
      </c>
      <c r="G151" s="20" t="n">
        <f aca="false">(C151-F151)/F151</f>
        <v>-0.0885559771468445</v>
      </c>
      <c r="H151" s="21" t="n">
        <f aca="true">IF(COUNTIFS($B$2:B151,B151)&gt;=20,AVERAGE(OFFSET(C151,-19,0,20,1)),"")</f>
        <v>420.3055</v>
      </c>
      <c r="I151" s="21" t="n">
        <f aca="true">IF(COUNTIFS($B$2:B151,B151)&gt;=50,AVERAGE(OFFSET(C151,-49,0,50,1)),"")</f>
        <v>426.8636</v>
      </c>
    </row>
    <row r="152" customFormat="false" ht="15" hidden="false" customHeight="false" outlineLevel="0" collapsed="false">
      <c r="A152" s="17" t="n">
        <f aca="false">Cours_Bruts!A152</f>
        <v>45817</v>
      </c>
      <c r="B152" s="18" t="str">
        <f aca="false">Cours_Bruts!B152</f>
        <v>MSFT</v>
      </c>
      <c r="C152" s="19" t="n">
        <f aca="false">Cours_Bruts!C152</f>
        <v>417.28</v>
      </c>
      <c r="D152" s="20" t="n">
        <f aca="false">IF(B152=B151,(C152-C151)/C151,"")</f>
        <v>-0.00165083618441528</v>
      </c>
      <c r="E152" s="20" t="n">
        <f aca="false">IF(B152=B151,(1+E151)*(1+IF(D152="",0,D152))-1,0)</f>
        <v>0.127783783783783</v>
      </c>
      <c r="F152" s="21" t="n">
        <f aca="false">IF(B152=B151,MAX(F151,C152),C152)</f>
        <v>458.58</v>
      </c>
      <c r="G152" s="20" t="n">
        <f aca="false">(C152-F152)/F152</f>
        <v>-0.0900606219198395</v>
      </c>
      <c r="H152" s="21" t="n">
        <f aca="true">IF(COUNTIFS($B$2:B152,B152)&gt;=20,AVERAGE(OFFSET(C152,-19,0,20,1)),"")</f>
        <v>418.9205</v>
      </c>
      <c r="I152" s="21" t="n">
        <f aca="true">IF(COUNTIFS($B$2:B152,B152)&gt;=50,AVERAGE(OFFSET(C152,-49,0,50,1)),"")</f>
        <v>426.897</v>
      </c>
    </row>
    <row r="153" customFormat="false" ht="15" hidden="false" customHeight="false" outlineLevel="0" collapsed="false">
      <c r="A153" s="17" t="n">
        <f aca="false">Cours_Bruts!A153</f>
        <v>45818</v>
      </c>
      <c r="B153" s="18" t="str">
        <f aca="false">Cours_Bruts!B153</f>
        <v>MSFT</v>
      </c>
      <c r="C153" s="19" t="n">
        <f aca="false">Cours_Bruts!C153</f>
        <v>423.5</v>
      </c>
      <c r="D153" s="20" t="n">
        <f aca="false">IF(B153=B152,(C153-C152)/C152,"")</f>
        <v>0.0149060582822087</v>
      </c>
      <c r="E153" s="20" t="n">
        <f aca="false">IF(B153=B152,(1+E152)*(1+IF(D153="",0,D153))-1,0)</f>
        <v>0.144594594594594</v>
      </c>
      <c r="F153" s="21" t="n">
        <f aca="false">IF(B153=B152,MAX(F152,C153),C153)</f>
        <v>458.58</v>
      </c>
      <c r="G153" s="20" t="n">
        <f aca="false">(C153-F153)/F153</f>
        <v>-0.0764970125169</v>
      </c>
      <c r="H153" s="21" t="n">
        <f aca="true">IF(COUNTIFS($B$2:B153,B153)&gt;=20,AVERAGE(OFFSET(C153,-19,0,20,1)),"")</f>
        <v>417.4065</v>
      </c>
      <c r="I153" s="21" t="n">
        <f aca="true">IF(COUNTIFS($B$2:B153,B153)&gt;=50,AVERAGE(OFFSET(C153,-49,0,50,1)),"")</f>
        <v>426.9328</v>
      </c>
    </row>
    <row r="154" customFormat="false" ht="15" hidden="false" customHeight="false" outlineLevel="0" collapsed="false">
      <c r="A154" s="17" t="n">
        <f aca="false">Cours_Bruts!A154</f>
        <v>45819</v>
      </c>
      <c r="B154" s="18" t="str">
        <f aca="false">Cours_Bruts!B154</f>
        <v>MSFT</v>
      </c>
      <c r="C154" s="19" t="n">
        <f aca="false">Cours_Bruts!C154</f>
        <v>432.79</v>
      </c>
      <c r="D154" s="20" t="n">
        <f aca="false">IF(B154=B153,(C154-C153)/C153,"")</f>
        <v>0.0219362455726093</v>
      </c>
      <c r="E154" s="20" t="n">
        <f aca="false">IF(B154=B153,(1+E153)*(1+IF(D154="",0,D154))-1,0)</f>
        <v>0.169702702702702</v>
      </c>
      <c r="F154" s="21" t="n">
        <f aca="false">IF(B154=B153,MAX(F153,C154),C154)</f>
        <v>458.58</v>
      </c>
      <c r="G154" s="20" t="n">
        <f aca="false">(C154-F154)/F154</f>
        <v>-0.0562388241964324</v>
      </c>
      <c r="H154" s="21" t="n">
        <f aca="true">IF(COUNTIFS($B$2:B154,B154)&gt;=20,AVERAGE(OFFSET(C154,-19,0,20,1)),"")</f>
        <v>416.709</v>
      </c>
      <c r="I154" s="21" t="n">
        <f aca="true">IF(COUNTIFS($B$2:B154,B154)&gt;=50,AVERAGE(OFFSET(C154,-49,0,50,1)),"")</f>
        <v>427.05</v>
      </c>
    </row>
    <row r="155" customFormat="false" ht="15" hidden="false" customHeight="false" outlineLevel="0" collapsed="false">
      <c r="A155" s="17" t="n">
        <f aca="false">Cours_Bruts!A155</f>
        <v>45820</v>
      </c>
      <c r="B155" s="18" t="str">
        <f aca="false">Cours_Bruts!B155</f>
        <v>MSFT</v>
      </c>
      <c r="C155" s="19" t="n">
        <f aca="false">Cours_Bruts!C155</f>
        <v>423.54</v>
      </c>
      <c r="D155" s="20" t="n">
        <f aca="false">IF(B155=B154,(C155-C154)/C154,"")</f>
        <v>-0.0213729522401165</v>
      </c>
      <c r="E155" s="20" t="n">
        <f aca="false">IF(B155=B154,(1+E154)*(1+IF(D155="",0,D155))-1,0)</f>
        <v>0.144702702702702</v>
      </c>
      <c r="F155" s="21" t="n">
        <f aca="false">IF(B155=B154,MAX(F154,C155),C155)</f>
        <v>458.58</v>
      </c>
      <c r="G155" s="20" t="n">
        <f aca="false">(C155-F155)/F155</f>
        <v>-0.0764097867329582</v>
      </c>
      <c r="H155" s="21" t="n">
        <f aca="true">IF(COUNTIFS($B$2:B155,B155)&gt;=20,AVERAGE(OFFSET(C155,-19,0,20,1)),"")</f>
        <v>415.935</v>
      </c>
      <c r="I155" s="21" t="n">
        <f aca="true">IF(COUNTIFS($B$2:B155,B155)&gt;=50,AVERAGE(OFFSET(C155,-49,0,50,1)),"")</f>
        <v>427.1098</v>
      </c>
    </row>
    <row r="156" customFormat="false" ht="15" hidden="false" customHeight="false" outlineLevel="0" collapsed="false">
      <c r="A156" s="17" t="n">
        <f aca="false">Cours_Bruts!A156</f>
        <v>45821</v>
      </c>
      <c r="B156" s="18" t="str">
        <f aca="false">Cours_Bruts!B156</f>
        <v>MSFT</v>
      </c>
      <c r="C156" s="19" t="n">
        <f aca="false">Cours_Bruts!C156</f>
        <v>429.71</v>
      </c>
      <c r="D156" s="20" t="n">
        <f aca="false">IF(B156=B155,(C156-C155)/C155,"")</f>
        <v>0.0145676913632714</v>
      </c>
      <c r="E156" s="20" t="n">
        <f aca="false">IF(B156=B155,(1+E155)*(1+IF(D156="",0,D156))-1,0)</f>
        <v>0.161378378378377</v>
      </c>
      <c r="F156" s="21" t="n">
        <f aca="false">IF(B156=B155,MAX(F155,C156),C156)</f>
        <v>458.58</v>
      </c>
      <c r="G156" s="20" t="n">
        <f aca="false">(C156-F156)/F156</f>
        <v>-0.0629552095599459</v>
      </c>
      <c r="H156" s="21" t="n">
        <f aca="true">IF(COUNTIFS($B$2:B156,B156)&gt;=20,AVERAGE(OFFSET(C156,-19,0,20,1)),"")</f>
        <v>416.4905</v>
      </c>
      <c r="I156" s="21" t="n">
        <f aca="true">IF(COUNTIFS($B$2:B156,B156)&gt;=50,AVERAGE(OFFSET(C156,-49,0,50,1)),"")</f>
        <v>427.3614</v>
      </c>
    </row>
    <row r="157" customFormat="false" ht="15" hidden="false" customHeight="false" outlineLevel="0" collapsed="false">
      <c r="A157" s="17" t="n">
        <f aca="false">Cours_Bruts!A157</f>
        <v>45824</v>
      </c>
      <c r="B157" s="18" t="str">
        <f aca="false">Cours_Bruts!B157</f>
        <v>MSFT</v>
      </c>
      <c r="C157" s="19" t="n">
        <f aca="false">Cours_Bruts!C157</f>
        <v>432.75</v>
      </c>
      <c r="D157" s="20" t="n">
        <f aca="false">IF(B157=B156,(C157-C156)/C156,"")</f>
        <v>0.00707453864234023</v>
      </c>
      <c r="E157" s="20" t="n">
        <f aca="false">IF(B157=B156,(1+E156)*(1+IF(D157="",0,D157))-1,0)</f>
        <v>0.169594594594594</v>
      </c>
      <c r="F157" s="21" t="n">
        <f aca="false">IF(B157=B156,MAX(F156,C157),C157)</f>
        <v>458.58</v>
      </c>
      <c r="G157" s="20" t="n">
        <f aca="false">(C157-F157)/F157</f>
        <v>-0.0563260499803742</v>
      </c>
      <c r="H157" s="21" t="n">
        <f aca="true">IF(COUNTIFS($B$2:B157,B157)&gt;=20,AVERAGE(OFFSET(C157,-19,0,20,1)),"")</f>
        <v>417.46</v>
      </c>
      <c r="I157" s="21" t="n">
        <f aca="true">IF(COUNTIFS($B$2:B157,B157)&gt;=50,AVERAGE(OFFSET(C157,-49,0,50,1)),"")</f>
        <v>427.5188</v>
      </c>
    </row>
    <row r="158" customFormat="false" ht="15" hidden="false" customHeight="false" outlineLevel="0" collapsed="false">
      <c r="A158" s="17" t="n">
        <f aca="false">Cours_Bruts!A158</f>
        <v>45825</v>
      </c>
      <c r="B158" s="18" t="str">
        <f aca="false">Cours_Bruts!B158</f>
        <v>MSFT</v>
      </c>
      <c r="C158" s="19" t="n">
        <f aca="false">Cours_Bruts!C158</f>
        <v>433</v>
      </c>
      <c r="D158" s="20" t="n">
        <f aca="false">IF(B158=B157,(C158-C157)/C157,"")</f>
        <v>0.000577700751010976</v>
      </c>
      <c r="E158" s="20" t="n">
        <f aca="false">IF(B158=B157,(1+E157)*(1+IF(D158="",0,D158))-1,0)</f>
        <v>0.170270270270269</v>
      </c>
      <c r="F158" s="21" t="n">
        <f aca="false">IF(B158=B157,MAX(F157,C158),C158)</f>
        <v>458.58</v>
      </c>
      <c r="G158" s="20" t="n">
        <f aca="false">(C158-F158)/F158</f>
        <v>-0.0557808888307383</v>
      </c>
      <c r="H158" s="21" t="n">
        <f aca="true">IF(COUNTIFS($B$2:B158,B158)&gt;=20,AVERAGE(OFFSET(C158,-19,0,20,1)),"")</f>
        <v>418.4305</v>
      </c>
      <c r="I158" s="21" t="n">
        <f aca="true">IF(COUNTIFS($B$2:B158,B158)&gt;=50,AVERAGE(OFFSET(C158,-49,0,50,1)),"")</f>
        <v>427.6162</v>
      </c>
    </row>
    <row r="159" customFormat="false" ht="15" hidden="false" customHeight="false" outlineLevel="0" collapsed="false">
      <c r="A159" s="17" t="n">
        <f aca="false">Cours_Bruts!A159</f>
        <v>45826</v>
      </c>
      <c r="B159" s="18" t="str">
        <f aca="false">Cours_Bruts!B159</f>
        <v>MSFT</v>
      </c>
      <c r="C159" s="19" t="n">
        <f aca="false">Cours_Bruts!C159</f>
        <v>422.13</v>
      </c>
      <c r="D159" s="20" t="n">
        <f aca="false">IF(B159=B158,(C159-C158)/C158,"")</f>
        <v>-0.0251039260969977</v>
      </c>
      <c r="E159" s="20" t="n">
        <f aca="false">IF(B159=B158,(1+E158)*(1+IF(D159="",0,D159))-1,0)</f>
        <v>0.140891891891891</v>
      </c>
      <c r="F159" s="21" t="n">
        <f aca="false">IF(B159=B158,MAX(F158,C159),C159)</f>
        <v>458.58</v>
      </c>
      <c r="G159" s="20" t="n">
        <f aca="false">(C159-F159)/F159</f>
        <v>-0.0794844956169043</v>
      </c>
      <c r="H159" s="21" t="n">
        <f aca="true">IF(COUNTIFS($B$2:B159,B159)&gt;=20,AVERAGE(OFFSET(C159,-19,0,20,1)),"")</f>
        <v>418.9745</v>
      </c>
      <c r="I159" s="21" t="n">
        <f aca="true">IF(COUNTIFS($B$2:B159,B159)&gt;=50,AVERAGE(OFFSET(C159,-49,0,50,1)),"")</f>
        <v>427.8372</v>
      </c>
    </row>
    <row r="160" customFormat="false" ht="15" hidden="false" customHeight="false" outlineLevel="0" collapsed="false">
      <c r="A160" s="17" t="n">
        <f aca="false">Cours_Bruts!A160</f>
        <v>45827</v>
      </c>
      <c r="B160" s="18" t="str">
        <f aca="false">Cours_Bruts!B160</f>
        <v>MSFT</v>
      </c>
      <c r="C160" s="19" t="n">
        <f aca="false">Cours_Bruts!C160</f>
        <v>432.63</v>
      </c>
      <c r="D160" s="20" t="n">
        <f aca="false">IF(B160=B159,(C160-C159)/C159,"")</f>
        <v>0.0248738540260109</v>
      </c>
      <c r="E160" s="20" t="n">
        <f aca="false">IF(B160=B159,(1+E159)*(1+IF(D160="",0,D160))-1,0)</f>
        <v>0.16927027027027</v>
      </c>
      <c r="F160" s="21" t="n">
        <f aca="false">IF(B160=B159,MAX(F159,C160),C160)</f>
        <v>458.58</v>
      </c>
      <c r="G160" s="20" t="n">
        <f aca="false">(C160-F160)/F160</f>
        <v>-0.0565877273321994</v>
      </c>
      <c r="H160" s="21" t="n">
        <f aca="true">IF(COUNTIFS($B$2:B160,B160)&gt;=20,AVERAGE(OFFSET(C160,-19,0,20,1)),"")</f>
        <v>420.186</v>
      </c>
      <c r="I160" s="21" t="n">
        <f aca="true">IF(COUNTIFS($B$2:B160,B160)&gt;=50,AVERAGE(OFFSET(C160,-49,0,50,1)),"")</f>
        <v>428.198</v>
      </c>
    </row>
    <row r="161" customFormat="false" ht="15" hidden="false" customHeight="false" outlineLevel="0" collapsed="false">
      <c r="A161" s="17" t="n">
        <f aca="false">Cours_Bruts!A161</f>
        <v>45828</v>
      </c>
      <c r="B161" s="18" t="str">
        <f aca="false">Cours_Bruts!B161</f>
        <v>MSFT</v>
      </c>
      <c r="C161" s="19" t="n">
        <f aca="false">Cours_Bruts!C161</f>
        <v>435.72</v>
      </c>
      <c r="D161" s="20" t="n">
        <f aca="false">IF(B161=B160,(C161-C160)/C160,"")</f>
        <v>0.00714236183343742</v>
      </c>
      <c r="E161" s="20" t="n">
        <f aca="false">IF(B161=B160,(1+E160)*(1+IF(D161="",0,D161))-1,0)</f>
        <v>0.177621621621621</v>
      </c>
      <c r="F161" s="21" t="n">
        <f aca="false">IF(B161=B160,MAX(F160,C161),C161)</f>
        <v>458.58</v>
      </c>
      <c r="G161" s="20" t="n">
        <f aca="false">(C161-F161)/F161</f>
        <v>-0.0498495355227004</v>
      </c>
      <c r="H161" s="21" t="n">
        <f aca="true">IF(COUNTIFS($B$2:B161,B161)&gt;=20,AVERAGE(OFFSET(C161,-19,0,20,1)),"")</f>
        <v>421.911</v>
      </c>
      <c r="I161" s="21" t="n">
        <f aca="true">IF(COUNTIFS($B$2:B161,B161)&gt;=50,AVERAGE(OFFSET(C161,-49,0,50,1)),"")</f>
        <v>428.4894</v>
      </c>
    </row>
    <row r="162" customFormat="false" ht="15" hidden="false" customHeight="false" outlineLevel="0" collapsed="false">
      <c r="A162" s="17" t="n">
        <f aca="false">Cours_Bruts!A162</f>
        <v>45719</v>
      </c>
      <c r="B162" s="18" t="str">
        <f aca="false">Cours_Bruts!B162</f>
        <v>TTE</v>
      </c>
      <c r="C162" s="19" t="n">
        <f aca="false">Cours_Bruts!C162</f>
        <v>60</v>
      </c>
      <c r="D162" s="20" t="str">
        <f aca="false">IF(B162=B161,(C162-C161)/C161,"")</f>
        <v/>
      </c>
      <c r="E162" s="20" t="n">
        <f aca="false">IF(B162=B161,(1+E161)*(1+IF(D162="",0,D162))-1,0)</f>
        <v>0</v>
      </c>
      <c r="F162" s="21" t="n">
        <f aca="false">IF(B162=B161,MAX(F161,C162),C162)</f>
        <v>60</v>
      </c>
      <c r="G162" s="20" t="n">
        <f aca="false">(C162-F162)/F162</f>
        <v>0</v>
      </c>
      <c r="H162" s="21" t="str">
        <f aca="true">IF(COUNTIFS($B$2:B162,B162)&gt;=20,AVERAGE(OFFSET(C162,-19,0,20,1)),"")</f>
        <v/>
      </c>
      <c r="I162" s="21" t="str">
        <f aca="true">IF(COUNTIFS($B$2:B162,B162)&gt;=50,AVERAGE(OFFSET(C162,-49,0,50,1)),"")</f>
        <v/>
      </c>
    </row>
    <row r="163" customFormat="false" ht="15" hidden="false" customHeight="false" outlineLevel="0" collapsed="false">
      <c r="A163" s="17" t="n">
        <f aca="false">Cours_Bruts!A163</f>
        <v>45720</v>
      </c>
      <c r="B163" s="18" t="str">
        <f aca="false">Cours_Bruts!B163</f>
        <v>TTE</v>
      </c>
      <c r="C163" s="19" t="n">
        <f aca="false">Cours_Bruts!C163</f>
        <v>59.41</v>
      </c>
      <c r="D163" s="20" t="n">
        <f aca="false">IF(B163=B162,(C163-C162)/C162,"")</f>
        <v>-0.00983333333333339</v>
      </c>
      <c r="E163" s="20" t="n">
        <f aca="false">IF(B163=B162,(1+E162)*(1+IF(D163="",0,D163))-1,0)</f>
        <v>-0.00983333333333336</v>
      </c>
      <c r="F163" s="21" t="n">
        <f aca="false">IF(B163=B162,MAX(F162,C163),C163)</f>
        <v>60</v>
      </c>
      <c r="G163" s="20" t="n">
        <f aca="false">(C163-F163)/F163</f>
        <v>-0.00983333333333339</v>
      </c>
      <c r="H163" s="21" t="str">
        <f aca="true">IF(COUNTIFS($B$2:B163,B163)&gt;=20,AVERAGE(OFFSET(C163,-19,0,20,1)),"")</f>
        <v/>
      </c>
      <c r="I163" s="21" t="str">
        <f aca="true">IF(COUNTIFS($B$2:B163,B163)&gt;=50,AVERAGE(OFFSET(C163,-49,0,50,1)),"")</f>
        <v/>
      </c>
    </row>
    <row r="164" customFormat="false" ht="15" hidden="false" customHeight="false" outlineLevel="0" collapsed="false">
      <c r="A164" s="17" t="n">
        <f aca="false">Cours_Bruts!A164</f>
        <v>45721</v>
      </c>
      <c r="B164" s="18" t="str">
        <f aca="false">Cours_Bruts!B164</f>
        <v>TTE</v>
      </c>
      <c r="C164" s="19" t="n">
        <f aca="false">Cours_Bruts!C164</f>
        <v>57.41</v>
      </c>
      <c r="D164" s="20" t="n">
        <f aca="false">IF(B164=B163,(C164-C163)/C163,"")</f>
        <v>-0.033664366268305</v>
      </c>
      <c r="E164" s="20" t="n">
        <f aca="false">IF(B164=B163,(1+E163)*(1+IF(D164="",0,D164))-1,0)</f>
        <v>-0.0431666666666667</v>
      </c>
      <c r="F164" s="21" t="n">
        <f aca="false">IF(B164=B163,MAX(F163,C164),C164)</f>
        <v>60</v>
      </c>
      <c r="G164" s="20" t="n">
        <f aca="false">(C164-F164)/F164</f>
        <v>-0.0431666666666667</v>
      </c>
      <c r="H164" s="21" t="str">
        <f aca="true">IF(COUNTIFS($B$2:B164,B164)&gt;=20,AVERAGE(OFFSET(C164,-19,0,20,1)),"")</f>
        <v/>
      </c>
      <c r="I164" s="21" t="str">
        <f aca="true">IF(COUNTIFS($B$2:B164,B164)&gt;=50,AVERAGE(OFFSET(C164,-49,0,50,1)),"")</f>
        <v/>
      </c>
    </row>
    <row r="165" customFormat="false" ht="15" hidden="false" customHeight="false" outlineLevel="0" collapsed="false">
      <c r="A165" s="17" t="n">
        <f aca="false">Cours_Bruts!A165</f>
        <v>45722</v>
      </c>
      <c r="B165" s="18" t="str">
        <f aca="false">Cours_Bruts!B165</f>
        <v>TTE</v>
      </c>
      <c r="C165" s="19" t="n">
        <f aca="false">Cours_Bruts!C165</f>
        <v>57.81</v>
      </c>
      <c r="D165" s="20" t="n">
        <f aca="false">IF(B165=B164,(C165-C164)/C164,"")</f>
        <v>0.00696742727747789</v>
      </c>
      <c r="E165" s="20" t="n">
        <f aca="false">IF(B165=B164,(1+E164)*(1+IF(D165="",0,D165))-1,0)</f>
        <v>-0.0365</v>
      </c>
      <c r="F165" s="21" t="n">
        <f aca="false">IF(B165=B164,MAX(F164,C165),C165)</f>
        <v>60</v>
      </c>
      <c r="G165" s="20" t="n">
        <f aca="false">(C165-F165)/F165</f>
        <v>-0.0365</v>
      </c>
      <c r="H165" s="21" t="str">
        <f aca="true">IF(COUNTIFS($B$2:B165,B165)&gt;=20,AVERAGE(OFFSET(C165,-19,0,20,1)),"")</f>
        <v/>
      </c>
      <c r="I165" s="21" t="str">
        <f aca="true">IF(COUNTIFS($B$2:B165,B165)&gt;=50,AVERAGE(OFFSET(C165,-49,0,50,1)),"")</f>
        <v/>
      </c>
    </row>
    <row r="166" customFormat="false" ht="15" hidden="false" customHeight="false" outlineLevel="0" collapsed="false">
      <c r="A166" s="17" t="n">
        <f aca="false">Cours_Bruts!A166</f>
        <v>45723</v>
      </c>
      <c r="B166" s="18" t="str">
        <f aca="false">Cours_Bruts!B166</f>
        <v>TTE</v>
      </c>
      <c r="C166" s="19" t="n">
        <f aca="false">Cours_Bruts!C166</f>
        <v>57.37</v>
      </c>
      <c r="D166" s="20" t="n">
        <f aca="false">IF(B166=B165,(C166-C165)/C165,"")</f>
        <v>-0.00761113994118673</v>
      </c>
      <c r="E166" s="20" t="n">
        <f aca="false">IF(B166=B165,(1+E165)*(1+IF(D166="",0,D166))-1,0)</f>
        <v>-0.0438333333333334</v>
      </c>
      <c r="F166" s="21" t="n">
        <f aca="false">IF(B166=B165,MAX(F165,C166),C166)</f>
        <v>60</v>
      </c>
      <c r="G166" s="20" t="n">
        <f aca="false">(C166-F166)/F166</f>
        <v>-0.0438333333333334</v>
      </c>
      <c r="H166" s="21" t="str">
        <f aca="true">IF(COUNTIFS($B$2:B166,B166)&gt;=20,AVERAGE(OFFSET(C166,-19,0,20,1)),"")</f>
        <v/>
      </c>
      <c r="I166" s="21" t="str">
        <f aca="true">IF(COUNTIFS($B$2:B166,B166)&gt;=50,AVERAGE(OFFSET(C166,-49,0,50,1)),"")</f>
        <v/>
      </c>
    </row>
    <row r="167" customFormat="false" ht="15" hidden="false" customHeight="false" outlineLevel="0" collapsed="false">
      <c r="A167" s="17" t="n">
        <f aca="false">Cours_Bruts!A167</f>
        <v>45726</v>
      </c>
      <c r="B167" s="18" t="str">
        <f aca="false">Cours_Bruts!B167</f>
        <v>TTE</v>
      </c>
      <c r="C167" s="19" t="n">
        <f aca="false">Cours_Bruts!C167</f>
        <v>57.47</v>
      </c>
      <c r="D167" s="20" t="n">
        <f aca="false">IF(B167=B166,(C167-C166)/C166,"")</f>
        <v>0.00174307129161585</v>
      </c>
      <c r="E167" s="20" t="n">
        <f aca="false">IF(B167=B166,(1+E166)*(1+IF(D167="",0,D167))-1,0)</f>
        <v>-0.0421666666666668</v>
      </c>
      <c r="F167" s="21" t="n">
        <f aca="false">IF(B167=B166,MAX(F166,C167),C167)</f>
        <v>60</v>
      </c>
      <c r="G167" s="20" t="n">
        <f aca="false">(C167-F167)/F167</f>
        <v>-0.0421666666666667</v>
      </c>
      <c r="H167" s="21" t="str">
        <f aca="true">IF(COUNTIFS($B$2:B167,B167)&gt;=20,AVERAGE(OFFSET(C167,-19,0,20,1)),"")</f>
        <v/>
      </c>
      <c r="I167" s="21" t="str">
        <f aca="true">IF(COUNTIFS($B$2:B167,B167)&gt;=50,AVERAGE(OFFSET(C167,-49,0,50,1)),"")</f>
        <v/>
      </c>
    </row>
    <row r="168" customFormat="false" ht="15" hidden="false" customHeight="false" outlineLevel="0" collapsed="false">
      <c r="A168" s="17" t="n">
        <f aca="false">Cours_Bruts!A168</f>
        <v>45727</v>
      </c>
      <c r="B168" s="18" t="str">
        <f aca="false">Cours_Bruts!B168</f>
        <v>TTE</v>
      </c>
      <c r="C168" s="19" t="n">
        <f aca="false">Cours_Bruts!C168</f>
        <v>56.51</v>
      </c>
      <c r="D168" s="20" t="n">
        <f aca="false">IF(B168=B167,(C168-C167)/C167,"")</f>
        <v>-0.0167043674960849</v>
      </c>
      <c r="E168" s="20" t="n">
        <f aca="false">IF(B168=B167,(1+E167)*(1+IF(D168="",0,D168))-1,0)</f>
        <v>-0.0581666666666668</v>
      </c>
      <c r="F168" s="21" t="n">
        <f aca="false">IF(B168=B167,MAX(F167,C168),C168)</f>
        <v>60</v>
      </c>
      <c r="G168" s="20" t="n">
        <f aca="false">(C168-F168)/F168</f>
        <v>-0.0581666666666667</v>
      </c>
      <c r="H168" s="21" t="str">
        <f aca="true">IF(COUNTIFS($B$2:B168,B168)&gt;=20,AVERAGE(OFFSET(C168,-19,0,20,1)),"")</f>
        <v/>
      </c>
      <c r="I168" s="21" t="str">
        <f aca="true">IF(COUNTIFS($B$2:B168,B168)&gt;=50,AVERAGE(OFFSET(C168,-49,0,50,1)),"")</f>
        <v/>
      </c>
    </row>
    <row r="169" customFormat="false" ht="15" hidden="false" customHeight="false" outlineLevel="0" collapsed="false">
      <c r="A169" s="17" t="n">
        <f aca="false">Cours_Bruts!A169</f>
        <v>45728</v>
      </c>
      <c r="B169" s="18" t="str">
        <f aca="false">Cours_Bruts!B169</f>
        <v>TTE</v>
      </c>
      <c r="C169" s="19" t="n">
        <f aca="false">Cours_Bruts!C169</f>
        <v>56.16</v>
      </c>
      <c r="D169" s="20" t="n">
        <f aca="false">IF(B169=B168,(C169-C168)/C168,"")</f>
        <v>-0.00619359405414973</v>
      </c>
      <c r="E169" s="20" t="n">
        <f aca="false">IF(B169=B168,(1+E168)*(1+IF(D169="",0,D169))-1,0)</f>
        <v>-0.0640000000000002</v>
      </c>
      <c r="F169" s="21" t="n">
        <f aca="false">IF(B169=B168,MAX(F168,C169),C169)</f>
        <v>60</v>
      </c>
      <c r="G169" s="20" t="n">
        <f aca="false">(C169-F169)/F169</f>
        <v>-0.0640000000000001</v>
      </c>
      <c r="H169" s="21" t="str">
        <f aca="true">IF(COUNTIFS($B$2:B169,B169)&gt;=20,AVERAGE(OFFSET(C169,-19,0,20,1)),"")</f>
        <v/>
      </c>
      <c r="I169" s="21" t="str">
        <f aca="true">IF(COUNTIFS($B$2:B169,B169)&gt;=50,AVERAGE(OFFSET(C169,-49,0,50,1)),"")</f>
        <v/>
      </c>
    </row>
    <row r="170" customFormat="false" ht="15" hidden="false" customHeight="false" outlineLevel="0" collapsed="false">
      <c r="A170" s="17" t="n">
        <f aca="false">Cours_Bruts!A170</f>
        <v>45729</v>
      </c>
      <c r="B170" s="18" t="str">
        <f aca="false">Cours_Bruts!B170</f>
        <v>TTE</v>
      </c>
      <c r="C170" s="19" t="n">
        <f aca="false">Cours_Bruts!C170</f>
        <v>57.83</v>
      </c>
      <c r="D170" s="20" t="n">
        <f aca="false">IF(B170=B169,(C170-C169)/C169,"")</f>
        <v>0.0297364672364673</v>
      </c>
      <c r="E170" s="20" t="n">
        <f aca="false">IF(B170=B169,(1+E169)*(1+IF(D170="",0,D170))-1,0)</f>
        <v>-0.0361666666666668</v>
      </c>
      <c r="F170" s="21" t="n">
        <f aca="false">IF(B170=B169,MAX(F169,C170),C170)</f>
        <v>60</v>
      </c>
      <c r="G170" s="20" t="n">
        <f aca="false">(C170-F170)/F170</f>
        <v>-0.0361666666666667</v>
      </c>
      <c r="H170" s="21" t="str">
        <f aca="true">IF(COUNTIFS($B$2:B170,B170)&gt;=20,AVERAGE(OFFSET(C170,-19,0,20,1)),"")</f>
        <v/>
      </c>
      <c r="I170" s="21" t="str">
        <f aca="true">IF(COUNTIFS($B$2:B170,B170)&gt;=50,AVERAGE(OFFSET(C170,-49,0,50,1)),"")</f>
        <v/>
      </c>
    </row>
    <row r="171" customFormat="false" ht="15" hidden="false" customHeight="false" outlineLevel="0" collapsed="false">
      <c r="A171" s="17" t="n">
        <f aca="false">Cours_Bruts!A171</f>
        <v>45730</v>
      </c>
      <c r="B171" s="18" t="str">
        <f aca="false">Cours_Bruts!B171</f>
        <v>TTE</v>
      </c>
      <c r="C171" s="19" t="n">
        <f aca="false">Cours_Bruts!C171</f>
        <v>57.98</v>
      </c>
      <c r="D171" s="20" t="n">
        <f aca="false">IF(B171=B170,(C171-C170)/C170,"")</f>
        <v>0.00259380944146634</v>
      </c>
      <c r="E171" s="20" t="n">
        <f aca="false">IF(B171=B170,(1+E170)*(1+IF(D171="",0,D171))-1,0)</f>
        <v>-0.0336666666666668</v>
      </c>
      <c r="F171" s="21" t="n">
        <f aca="false">IF(B171=B170,MAX(F170,C171),C171)</f>
        <v>60</v>
      </c>
      <c r="G171" s="20" t="n">
        <f aca="false">(C171-F171)/F171</f>
        <v>-0.0336666666666667</v>
      </c>
      <c r="H171" s="21" t="str">
        <f aca="true">IF(COUNTIFS($B$2:B171,B171)&gt;=20,AVERAGE(OFFSET(C171,-19,0,20,1)),"")</f>
        <v/>
      </c>
      <c r="I171" s="21" t="str">
        <f aca="true">IF(COUNTIFS($B$2:B171,B171)&gt;=50,AVERAGE(OFFSET(C171,-49,0,50,1)),"")</f>
        <v/>
      </c>
    </row>
    <row r="172" customFormat="false" ht="15" hidden="false" customHeight="false" outlineLevel="0" collapsed="false">
      <c r="A172" s="17" t="n">
        <f aca="false">Cours_Bruts!A172</f>
        <v>45733</v>
      </c>
      <c r="B172" s="18" t="str">
        <f aca="false">Cours_Bruts!B172</f>
        <v>TTE</v>
      </c>
      <c r="C172" s="19" t="n">
        <f aca="false">Cours_Bruts!C172</f>
        <v>58.59</v>
      </c>
      <c r="D172" s="20" t="n">
        <f aca="false">IF(B172=B171,(C172-C171)/C171,"")</f>
        <v>0.010520869265264</v>
      </c>
      <c r="E172" s="20" t="n">
        <f aca="false">IF(B172=B171,(1+E171)*(1+IF(D172="",0,D172))-1,0)</f>
        <v>-0.0235</v>
      </c>
      <c r="F172" s="21" t="n">
        <f aca="false">IF(B172=B171,MAX(F171,C172),C172)</f>
        <v>60</v>
      </c>
      <c r="G172" s="20" t="n">
        <f aca="false">(C172-F172)/F172</f>
        <v>-0.0234999999999999</v>
      </c>
      <c r="H172" s="21" t="str">
        <f aca="true">IF(COUNTIFS($B$2:B172,B172)&gt;=20,AVERAGE(OFFSET(C172,-19,0,20,1)),"")</f>
        <v/>
      </c>
      <c r="I172" s="21" t="str">
        <f aca="true">IF(COUNTIFS($B$2:B172,B172)&gt;=50,AVERAGE(OFFSET(C172,-49,0,50,1)),"")</f>
        <v/>
      </c>
    </row>
    <row r="173" customFormat="false" ht="15" hidden="false" customHeight="false" outlineLevel="0" collapsed="false">
      <c r="A173" s="17" t="n">
        <f aca="false">Cours_Bruts!A173</f>
        <v>45734</v>
      </c>
      <c r="B173" s="18" t="str">
        <f aca="false">Cours_Bruts!B173</f>
        <v>TTE</v>
      </c>
      <c r="C173" s="19" t="n">
        <f aca="false">Cours_Bruts!C173</f>
        <v>57.2</v>
      </c>
      <c r="D173" s="20" t="n">
        <f aca="false">IF(B173=B172,(C173-C172)/C172,"")</f>
        <v>-0.0237241850145076</v>
      </c>
      <c r="E173" s="20" t="n">
        <f aca="false">IF(B173=B172,(1+E172)*(1+IF(D173="",0,D173))-1,0)</f>
        <v>-0.0466666666666666</v>
      </c>
      <c r="F173" s="21" t="n">
        <f aca="false">IF(B173=B172,MAX(F172,C173),C173)</f>
        <v>60</v>
      </c>
      <c r="G173" s="20" t="n">
        <f aca="false">(C173-F173)/F173</f>
        <v>-0.0466666666666666</v>
      </c>
      <c r="H173" s="21" t="str">
        <f aca="true">IF(COUNTIFS($B$2:B173,B173)&gt;=20,AVERAGE(OFFSET(C173,-19,0,20,1)),"")</f>
        <v/>
      </c>
      <c r="I173" s="21" t="str">
        <f aca="true">IF(COUNTIFS($B$2:B173,B173)&gt;=50,AVERAGE(OFFSET(C173,-49,0,50,1)),"")</f>
        <v/>
      </c>
    </row>
    <row r="174" customFormat="false" ht="15" hidden="false" customHeight="false" outlineLevel="0" collapsed="false">
      <c r="A174" s="17" t="n">
        <f aca="false">Cours_Bruts!A174</f>
        <v>45735</v>
      </c>
      <c r="B174" s="18" t="str">
        <f aca="false">Cours_Bruts!B174</f>
        <v>TTE</v>
      </c>
      <c r="C174" s="19" t="n">
        <f aca="false">Cours_Bruts!C174</f>
        <v>59.79</v>
      </c>
      <c r="D174" s="20" t="n">
        <f aca="false">IF(B174=B173,(C174-C173)/C173,"")</f>
        <v>0.0452797202797202</v>
      </c>
      <c r="E174" s="20" t="n">
        <f aca="false">IF(B174=B173,(1+E173)*(1+IF(D174="",0,D174))-1,0)</f>
        <v>-0.00350000000000006</v>
      </c>
      <c r="F174" s="21" t="n">
        <f aca="false">IF(B174=B173,MAX(F173,C174),C174)</f>
        <v>60</v>
      </c>
      <c r="G174" s="20" t="n">
        <f aca="false">(C174-F174)/F174</f>
        <v>-0.00350000000000001</v>
      </c>
      <c r="H174" s="21" t="str">
        <f aca="true">IF(COUNTIFS($B$2:B174,B174)&gt;=20,AVERAGE(OFFSET(C174,-19,0,20,1)),"")</f>
        <v/>
      </c>
      <c r="I174" s="21" t="str">
        <f aca="true">IF(COUNTIFS($B$2:B174,B174)&gt;=50,AVERAGE(OFFSET(C174,-49,0,50,1)),"")</f>
        <v/>
      </c>
    </row>
    <row r="175" customFormat="false" ht="15" hidden="false" customHeight="false" outlineLevel="0" collapsed="false">
      <c r="A175" s="17" t="n">
        <f aca="false">Cours_Bruts!A175</f>
        <v>45736</v>
      </c>
      <c r="B175" s="18" t="str">
        <f aca="false">Cours_Bruts!B175</f>
        <v>TTE</v>
      </c>
      <c r="C175" s="19" t="n">
        <f aca="false">Cours_Bruts!C175</f>
        <v>61.89</v>
      </c>
      <c r="D175" s="20" t="n">
        <f aca="false">IF(B175=B174,(C175-C174)/C174,"")</f>
        <v>0.0351229302558957</v>
      </c>
      <c r="E175" s="20" t="n">
        <f aca="false">IF(B175=B174,(1+E174)*(1+IF(D175="",0,D175))-1,0)</f>
        <v>0.0315000000000001</v>
      </c>
      <c r="F175" s="21" t="n">
        <f aca="false">IF(B175=B174,MAX(F174,C175),C175)</f>
        <v>61.89</v>
      </c>
      <c r="G175" s="20" t="n">
        <f aca="false">(C175-F175)/F175</f>
        <v>0</v>
      </c>
      <c r="H175" s="21" t="str">
        <f aca="true">IF(COUNTIFS($B$2:B175,B175)&gt;=20,AVERAGE(OFFSET(C175,-19,0,20,1)),"")</f>
        <v/>
      </c>
      <c r="I175" s="21" t="str">
        <f aca="true">IF(COUNTIFS($B$2:B175,B175)&gt;=50,AVERAGE(OFFSET(C175,-49,0,50,1)),"")</f>
        <v/>
      </c>
    </row>
    <row r="176" customFormat="false" ht="15" hidden="false" customHeight="false" outlineLevel="0" collapsed="false">
      <c r="A176" s="17" t="n">
        <f aca="false">Cours_Bruts!A176</f>
        <v>45737</v>
      </c>
      <c r="B176" s="18" t="str">
        <f aca="false">Cours_Bruts!B176</f>
        <v>TTE</v>
      </c>
      <c r="C176" s="19" t="n">
        <f aca="false">Cours_Bruts!C176</f>
        <v>63.49</v>
      </c>
      <c r="D176" s="20" t="n">
        <f aca="false">IF(B176=B175,(C176-C175)/C175,"")</f>
        <v>0.0258523186298271</v>
      </c>
      <c r="E176" s="20" t="n">
        <f aca="false">IF(B176=B175,(1+E175)*(1+IF(D176="",0,D176))-1,0)</f>
        <v>0.0581666666666669</v>
      </c>
      <c r="F176" s="21" t="n">
        <f aca="false">IF(B176=B175,MAX(F175,C176),C176)</f>
        <v>63.49</v>
      </c>
      <c r="G176" s="20" t="n">
        <f aca="false">(C176-F176)/F176</f>
        <v>0</v>
      </c>
      <c r="H176" s="21" t="str">
        <f aca="true">IF(COUNTIFS($B$2:B176,B176)&gt;=20,AVERAGE(OFFSET(C176,-19,0,20,1)),"")</f>
        <v/>
      </c>
      <c r="I176" s="21" t="str">
        <f aca="true">IF(COUNTIFS($B$2:B176,B176)&gt;=50,AVERAGE(OFFSET(C176,-49,0,50,1)),"")</f>
        <v/>
      </c>
    </row>
    <row r="177" customFormat="false" ht="15" hidden="false" customHeight="false" outlineLevel="0" collapsed="false">
      <c r="A177" s="17" t="n">
        <f aca="false">Cours_Bruts!A177</f>
        <v>45740</v>
      </c>
      <c r="B177" s="18" t="str">
        <f aca="false">Cours_Bruts!B177</f>
        <v>TTE</v>
      </c>
      <c r="C177" s="19" t="n">
        <f aca="false">Cours_Bruts!C177</f>
        <v>64.5</v>
      </c>
      <c r="D177" s="20" t="n">
        <f aca="false">IF(B177=B176,(C177-C176)/C176,"")</f>
        <v>0.0159080170105528</v>
      </c>
      <c r="E177" s="20" t="n">
        <f aca="false">IF(B177=B176,(1+E176)*(1+IF(D177="",0,D177))-1,0)</f>
        <v>0.0750000000000002</v>
      </c>
      <c r="F177" s="21" t="n">
        <f aca="false">IF(B177=B176,MAX(F176,C177),C177)</f>
        <v>64.5</v>
      </c>
      <c r="G177" s="20" t="n">
        <f aca="false">(C177-F177)/F177</f>
        <v>0</v>
      </c>
      <c r="H177" s="21" t="str">
        <f aca="true">IF(COUNTIFS($B$2:B177,B177)&gt;=20,AVERAGE(OFFSET(C177,-19,0,20,1)),"")</f>
        <v/>
      </c>
      <c r="I177" s="21" t="str">
        <f aca="true">IF(COUNTIFS($B$2:B177,B177)&gt;=50,AVERAGE(OFFSET(C177,-49,0,50,1)),"")</f>
        <v/>
      </c>
    </row>
    <row r="178" customFormat="false" ht="15" hidden="false" customHeight="false" outlineLevel="0" collapsed="false">
      <c r="A178" s="17" t="n">
        <f aca="false">Cours_Bruts!A178</f>
        <v>45741</v>
      </c>
      <c r="B178" s="18" t="str">
        <f aca="false">Cours_Bruts!B178</f>
        <v>TTE</v>
      </c>
      <c r="C178" s="19" t="n">
        <f aca="false">Cours_Bruts!C178</f>
        <v>64.53</v>
      </c>
      <c r="D178" s="20" t="n">
        <f aca="false">IF(B178=B177,(C178-C177)/C177,"")</f>
        <v>0.000465116279069785</v>
      </c>
      <c r="E178" s="20" t="n">
        <f aca="false">IF(B178=B177,(1+E177)*(1+IF(D178="",0,D178))-1,0)</f>
        <v>0.0755000000000003</v>
      </c>
      <c r="F178" s="21" t="n">
        <f aca="false">IF(B178=B177,MAX(F177,C178),C178)</f>
        <v>64.53</v>
      </c>
      <c r="G178" s="20" t="n">
        <f aca="false">(C178-F178)/F178</f>
        <v>0</v>
      </c>
      <c r="H178" s="21" t="str">
        <f aca="true">IF(COUNTIFS($B$2:B178,B178)&gt;=20,AVERAGE(OFFSET(C178,-19,0,20,1)),"")</f>
        <v/>
      </c>
      <c r="I178" s="21" t="str">
        <f aca="true">IF(COUNTIFS($B$2:B178,B178)&gt;=50,AVERAGE(OFFSET(C178,-49,0,50,1)),"")</f>
        <v/>
      </c>
    </row>
    <row r="179" customFormat="false" ht="15" hidden="false" customHeight="false" outlineLevel="0" collapsed="false">
      <c r="A179" s="17" t="n">
        <f aca="false">Cours_Bruts!A179</f>
        <v>45742</v>
      </c>
      <c r="B179" s="18" t="str">
        <f aca="false">Cours_Bruts!B179</f>
        <v>TTE</v>
      </c>
      <c r="C179" s="19" t="n">
        <f aca="false">Cours_Bruts!C179</f>
        <v>65.08</v>
      </c>
      <c r="D179" s="20" t="n">
        <f aca="false">IF(B179=B178,(C179-C178)/C178,"")</f>
        <v>0.00852316751898337</v>
      </c>
      <c r="E179" s="20" t="n">
        <f aca="false">IF(B179=B178,(1+E178)*(1+IF(D179="",0,D179))-1,0)</f>
        <v>0.0846666666666671</v>
      </c>
      <c r="F179" s="21" t="n">
        <f aca="false">IF(B179=B178,MAX(F178,C179),C179)</f>
        <v>65.08</v>
      </c>
      <c r="G179" s="20" t="n">
        <f aca="false">(C179-F179)/F179</f>
        <v>0</v>
      </c>
      <c r="H179" s="21" t="str">
        <f aca="true">IF(COUNTIFS($B$2:B179,B179)&gt;=20,AVERAGE(OFFSET(C179,-19,0,20,1)),"")</f>
        <v/>
      </c>
      <c r="I179" s="21" t="str">
        <f aca="true">IF(COUNTIFS($B$2:B179,B179)&gt;=50,AVERAGE(OFFSET(C179,-49,0,50,1)),"")</f>
        <v/>
      </c>
    </row>
    <row r="180" customFormat="false" ht="15" hidden="false" customHeight="false" outlineLevel="0" collapsed="false">
      <c r="A180" s="17" t="n">
        <f aca="false">Cours_Bruts!A180</f>
        <v>45743</v>
      </c>
      <c r="B180" s="18" t="str">
        <f aca="false">Cours_Bruts!B180</f>
        <v>TTE</v>
      </c>
      <c r="C180" s="19" t="n">
        <f aca="false">Cours_Bruts!C180</f>
        <v>66.39</v>
      </c>
      <c r="D180" s="20" t="n">
        <f aca="false">IF(B180=B179,(C180-C179)/C179,"")</f>
        <v>0.0201290719114936</v>
      </c>
      <c r="E180" s="20" t="n">
        <f aca="false">IF(B180=B179,(1+E179)*(1+IF(D180="",0,D180))-1,0)</f>
        <v>0.1065</v>
      </c>
      <c r="F180" s="21" t="n">
        <f aca="false">IF(B180=B179,MAX(F179,C180),C180)</f>
        <v>66.39</v>
      </c>
      <c r="G180" s="20" t="n">
        <f aca="false">(C180-F180)/F180</f>
        <v>0</v>
      </c>
      <c r="H180" s="21" t="str">
        <f aca="true">IF(COUNTIFS($B$2:B180,B180)&gt;=20,AVERAGE(OFFSET(C180,-19,0,20,1)),"")</f>
        <v/>
      </c>
      <c r="I180" s="21" t="str">
        <f aca="true">IF(COUNTIFS($B$2:B180,B180)&gt;=50,AVERAGE(OFFSET(C180,-49,0,50,1)),"")</f>
        <v/>
      </c>
    </row>
    <row r="181" customFormat="false" ht="15" hidden="false" customHeight="false" outlineLevel="0" collapsed="false">
      <c r="A181" s="17" t="n">
        <f aca="false">Cours_Bruts!A181</f>
        <v>45744</v>
      </c>
      <c r="B181" s="18" t="str">
        <f aca="false">Cours_Bruts!B181</f>
        <v>TTE</v>
      </c>
      <c r="C181" s="19" t="n">
        <f aca="false">Cours_Bruts!C181</f>
        <v>65.61</v>
      </c>
      <c r="D181" s="20" t="n">
        <f aca="false">IF(B181=B180,(C181-C180)/C180,"")</f>
        <v>-0.0117487573429734</v>
      </c>
      <c r="E181" s="20" t="n">
        <f aca="false">IF(B181=B180,(1+E180)*(1+IF(D181="",0,D181))-1,0)</f>
        <v>0.0935000000000006</v>
      </c>
      <c r="F181" s="21" t="n">
        <f aca="false">IF(B181=B180,MAX(F180,C181),C181)</f>
        <v>66.39</v>
      </c>
      <c r="G181" s="20" t="n">
        <f aca="false">(C181-F181)/F181</f>
        <v>-0.0117487573429734</v>
      </c>
      <c r="H181" s="21" t="n">
        <f aca="true">IF(COUNTIFS($B$2:B181,B181)&gt;=20,AVERAGE(OFFSET(C181,-19,0,20,1)),"")</f>
        <v>60.251</v>
      </c>
      <c r="I181" s="21" t="str">
        <f aca="true">IF(COUNTIFS($B$2:B181,B181)&gt;=50,AVERAGE(OFFSET(C181,-49,0,50,1)),"")</f>
        <v/>
      </c>
    </row>
    <row r="182" customFormat="false" ht="15" hidden="false" customHeight="false" outlineLevel="0" collapsed="false">
      <c r="A182" s="17" t="n">
        <f aca="false">Cours_Bruts!A182</f>
        <v>45747</v>
      </c>
      <c r="B182" s="18" t="str">
        <f aca="false">Cours_Bruts!B182</f>
        <v>TTE</v>
      </c>
      <c r="C182" s="19" t="n">
        <f aca="false">Cours_Bruts!C182</f>
        <v>65.07</v>
      </c>
      <c r="D182" s="20" t="n">
        <f aca="false">IF(B182=B181,(C182-C181)/C181,"")</f>
        <v>-0.00823045267489722</v>
      </c>
      <c r="E182" s="20" t="n">
        <f aca="false">IF(B182=B181,(1+E181)*(1+IF(D182="",0,D182))-1,0)</f>
        <v>0.0845000000000005</v>
      </c>
      <c r="F182" s="21" t="n">
        <f aca="false">IF(B182=B181,MAX(F181,C182),C182)</f>
        <v>66.39</v>
      </c>
      <c r="G182" s="20" t="n">
        <f aca="false">(C182-F182)/F182</f>
        <v>-0.0198825124265704</v>
      </c>
      <c r="H182" s="21" t="n">
        <f aca="true">IF(COUNTIFS($B$2:B182,B182)&gt;=20,AVERAGE(OFFSET(C182,-19,0,20,1)),"")</f>
        <v>60.5045</v>
      </c>
      <c r="I182" s="21" t="str">
        <f aca="true">IF(COUNTIFS($B$2:B182,B182)&gt;=50,AVERAGE(OFFSET(C182,-49,0,50,1)),"")</f>
        <v/>
      </c>
    </row>
    <row r="183" customFormat="false" ht="15" hidden="false" customHeight="false" outlineLevel="0" collapsed="false">
      <c r="A183" s="17" t="n">
        <f aca="false">Cours_Bruts!A183</f>
        <v>45748</v>
      </c>
      <c r="B183" s="18" t="str">
        <f aca="false">Cours_Bruts!B183</f>
        <v>TTE</v>
      </c>
      <c r="C183" s="19" t="n">
        <f aca="false">Cours_Bruts!C183</f>
        <v>63.03</v>
      </c>
      <c r="D183" s="20" t="n">
        <f aca="false">IF(B183=B182,(C183-C182)/C182,"")</f>
        <v>-0.0313508529276163</v>
      </c>
      <c r="E183" s="20" t="n">
        <f aca="false">IF(B183=B182,(1+E182)*(1+IF(D183="",0,D183))-1,0)</f>
        <v>0.0505000000000007</v>
      </c>
      <c r="F183" s="21" t="n">
        <f aca="false">IF(B183=B182,MAX(F182,C183),C183)</f>
        <v>66.39</v>
      </c>
      <c r="G183" s="20" t="n">
        <f aca="false">(C183-F183)/F183</f>
        <v>-0.0506100316312698</v>
      </c>
      <c r="H183" s="21" t="n">
        <f aca="true">IF(COUNTIFS($B$2:B183,B183)&gt;=20,AVERAGE(OFFSET(C183,-19,0,20,1)),"")</f>
        <v>60.6855</v>
      </c>
      <c r="I183" s="21" t="str">
        <f aca="true">IF(COUNTIFS($B$2:B183,B183)&gt;=50,AVERAGE(OFFSET(C183,-49,0,50,1)),"")</f>
        <v/>
      </c>
    </row>
    <row r="184" customFormat="false" ht="15" hidden="false" customHeight="false" outlineLevel="0" collapsed="false">
      <c r="A184" s="17" t="n">
        <f aca="false">Cours_Bruts!A184</f>
        <v>45749</v>
      </c>
      <c r="B184" s="18" t="str">
        <f aca="false">Cours_Bruts!B184</f>
        <v>TTE</v>
      </c>
      <c r="C184" s="19" t="n">
        <f aca="false">Cours_Bruts!C184</f>
        <v>62.13</v>
      </c>
      <c r="D184" s="20" t="n">
        <f aca="false">IF(B184=B183,(C184-C183)/C183,"")</f>
        <v>-0.014278914802475</v>
      </c>
      <c r="E184" s="20" t="n">
        <f aca="false">IF(B184=B183,(1+E183)*(1+IF(D184="",0,D184))-1,0)</f>
        <v>0.0355000000000008</v>
      </c>
      <c r="F184" s="21" t="n">
        <f aca="false">IF(B184=B183,MAX(F183,C184),C184)</f>
        <v>66.39</v>
      </c>
      <c r="G184" s="20" t="n">
        <f aca="false">(C184-F184)/F184</f>
        <v>-0.0641662901039313</v>
      </c>
      <c r="H184" s="21" t="n">
        <f aca="true">IF(COUNTIFS($B$2:B184,B184)&gt;=20,AVERAGE(OFFSET(C184,-19,0,20,1)),"")</f>
        <v>60.9215</v>
      </c>
      <c r="I184" s="21" t="str">
        <f aca="true">IF(COUNTIFS($B$2:B184,B184)&gt;=50,AVERAGE(OFFSET(C184,-49,0,50,1)),"")</f>
        <v/>
      </c>
    </row>
    <row r="185" customFormat="false" ht="15" hidden="false" customHeight="false" outlineLevel="0" collapsed="false">
      <c r="A185" s="17" t="n">
        <f aca="false">Cours_Bruts!A185</f>
        <v>45750</v>
      </c>
      <c r="B185" s="18" t="str">
        <f aca="false">Cours_Bruts!B185</f>
        <v>TTE</v>
      </c>
      <c r="C185" s="19" t="n">
        <f aca="false">Cours_Bruts!C185</f>
        <v>64.09</v>
      </c>
      <c r="D185" s="20" t="n">
        <f aca="false">IF(B185=B184,(C185-C184)/C184,"")</f>
        <v>0.0315467568002575</v>
      </c>
      <c r="E185" s="20" t="n">
        <f aca="false">IF(B185=B184,(1+E184)*(1+IF(D185="",0,D185))-1,0)</f>
        <v>0.0681666666666676</v>
      </c>
      <c r="F185" s="21" t="n">
        <f aca="false">IF(B185=B184,MAX(F184,C185),C185)</f>
        <v>66.39</v>
      </c>
      <c r="G185" s="20" t="n">
        <f aca="false">(C185-F185)/F185</f>
        <v>-0.0346437716523572</v>
      </c>
      <c r="H185" s="21" t="n">
        <f aca="true">IF(COUNTIFS($B$2:B185,B185)&gt;=20,AVERAGE(OFFSET(C185,-19,0,20,1)),"")</f>
        <v>61.2355</v>
      </c>
      <c r="I185" s="21" t="str">
        <f aca="true">IF(COUNTIFS($B$2:B185,B185)&gt;=50,AVERAGE(OFFSET(C185,-49,0,50,1)),"")</f>
        <v/>
      </c>
    </row>
    <row r="186" customFormat="false" ht="15" hidden="false" customHeight="false" outlineLevel="0" collapsed="false">
      <c r="A186" s="17" t="n">
        <f aca="false">Cours_Bruts!A186</f>
        <v>45751</v>
      </c>
      <c r="B186" s="18" t="str">
        <f aca="false">Cours_Bruts!B186</f>
        <v>TTE</v>
      </c>
      <c r="C186" s="19" t="n">
        <f aca="false">Cours_Bruts!C186</f>
        <v>63.7</v>
      </c>
      <c r="D186" s="20" t="n">
        <f aca="false">IF(B186=B185,(C186-C185)/C185,"")</f>
        <v>-0.00608519269776877</v>
      </c>
      <c r="E186" s="20" t="n">
        <f aca="false">IF(B186=B185,(1+E185)*(1+IF(D186="",0,D186))-1,0)</f>
        <v>0.0616666666666677</v>
      </c>
      <c r="F186" s="21" t="n">
        <f aca="false">IF(B186=B185,MAX(F185,C186),C186)</f>
        <v>66.39</v>
      </c>
      <c r="G186" s="20" t="n">
        <f aca="false">(C186-F186)/F186</f>
        <v>-0.0405181503238439</v>
      </c>
      <c r="H186" s="21" t="n">
        <f aca="true">IF(COUNTIFS($B$2:B186,B186)&gt;=20,AVERAGE(OFFSET(C186,-19,0,20,1)),"")</f>
        <v>61.552</v>
      </c>
      <c r="I186" s="21" t="str">
        <f aca="true">IF(COUNTIFS($B$2:B186,B186)&gt;=50,AVERAGE(OFFSET(C186,-49,0,50,1)),"")</f>
        <v/>
      </c>
    </row>
    <row r="187" customFormat="false" ht="15" hidden="false" customHeight="false" outlineLevel="0" collapsed="false">
      <c r="A187" s="17" t="n">
        <f aca="false">Cours_Bruts!A187</f>
        <v>45754</v>
      </c>
      <c r="B187" s="18" t="str">
        <f aca="false">Cours_Bruts!B187</f>
        <v>TTE</v>
      </c>
      <c r="C187" s="19" t="n">
        <f aca="false">Cours_Bruts!C187</f>
        <v>63.33</v>
      </c>
      <c r="D187" s="20" t="n">
        <f aca="false">IF(B187=B186,(C187-C186)/C186,"")</f>
        <v>-0.00580847723704874</v>
      </c>
      <c r="E187" s="20" t="n">
        <f aca="false">IF(B187=B186,(1+E186)*(1+IF(D187="",0,D187))-1,0)</f>
        <v>0.055500000000001</v>
      </c>
      <c r="F187" s="21" t="n">
        <f aca="false">IF(B187=B186,MAX(F186,C187),C187)</f>
        <v>66.39</v>
      </c>
      <c r="G187" s="20" t="n">
        <f aca="false">(C187-F187)/F187</f>
        <v>-0.0460912788070493</v>
      </c>
      <c r="H187" s="21" t="n">
        <f aca="true">IF(COUNTIFS($B$2:B187,B187)&gt;=20,AVERAGE(OFFSET(C187,-19,0,20,1)),"")</f>
        <v>61.845</v>
      </c>
      <c r="I187" s="21" t="str">
        <f aca="true">IF(COUNTIFS($B$2:B187,B187)&gt;=50,AVERAGE(OFFSET(C187,-49,0,50,1)),"")</f>
        <v/>
      </c>
    </row>
    <row r="188" customFormat="false" ht="15" hidden="false" customHeight="false" outlineLevel="0" collapsed="false">
      <c r="A188" s="17" t="n">
        <f aca="false">Cours_Bruts!A188</f>
        <v>45755</v>
      </c>
      <c r="B188" s="18" t="str">
        <f aca="false">Cours_Bruts!B188</f>
        <v>TTE</v>
      </c>
      <c r="C188" s="19" t="n">
        <f aca="false">Cours_Bruts!C188</f>
        <v>63.72</v>
      </c>
      <c r="D188" s="20" t="n">
        <f aca="false">IF(B188=B187,(C188-C187)/C187,"")</f>
        <v>0.00615821885362388</v>
      </c>
      <c r="E188" s="20" t="n">
        <f aca="false">IF(B188=B187,(1+E187)*(1+IF(D188="",0,D188))-1,0)</f>
        <v>0.0620000000000009</v>
      </c>
      <c r="F188" s="21" t="n">
        <f aca="false">IF(B188=B187,MAX(F187,C188),C188)</f>
        <v>66.39</v>
      </c>
      <c r="G188" s="20" t="n">
        <f aca="false">(C188-F188)/F188</f>
        <v>-0.0402169001355626</v>
      </c>
      <c r="H188" s="21" t="n">
        <f aca="true">IF(COUNTIFS($B$2:B188,B188)&gt;=20,AVERAGE(OFFSET(C188,-19,0,20,1)),"")</f>
        <v>62.2055</v>
      </c>
      <c r="I188" s="21" t="str">
        <f aca="true">IF(COUNTIFS($B$2:B188,B188)&gt;=50,AVERAGE(OFFSET(C188,-49,0,50,1)),"")</f>
        <v/>
      </c>
    </row>
    <row r="189" customFormat="false" ht="15" hidden="false" customHeight="false" outlineLevel="0" collapsed="false">
      <c r="A189" s="17" t="n">
        <f aca="false">Cours_Bruts!A189</f>
        <v>45756</v>
      </c>
      <c r="B189" s="18" t="str">
        <f aca="false">Cours_Bruts!B189</f>
        <v>TTE</v>
      </c>
      <c r="C189" s="19" t="n">
        <f aca="false">Cours_Bruts!C189</f>
        <v>61.79</v>
      </c>
      <c r="D189" s="20" t="n">
        <f aca="false">IF(B189=B188,(C189-C188)/C188,"")</f>
        <v>-0.0302887633396108</v>
      </c>
      <c r="E189" s="20" t="n">
        <f aca="false">IF(B189=B188,(1+E188)*(1+IF(D189="",0,D189))-1,0)</f>
        <v>0.0298333333333343</v>
      </c>
      <c r="F189" s="21" t="n">
        <f aca="false">IF(B189=B188,MAX(F188,C189),C189)</f>
        <v>66.39</v>
      </c>
      <c r="G189" s="20" t="n">
        <f aca="false">(C189-F189)/F189</f>
        <v>-0.0692875433047146</v>
      </c>
      <c r="H189" s="21" t="n">
        <f aca="true">IF(COUNTIFS($B$2:B189,B189)&gt;=20,AVERAGE(OFFSET(C189,-19,0,20,1)),"")</f>
        <v>62.487</v>
      </c>
      <c r="I189" s="21" t="str">
        <f aca="true">IF(COUNTIFS($B$2:B189,B189)&gt;=50,AVERAGE(OFFSET(C189,-49,0,50,1)),"")</f>
        <v/>
      </c>
    </row>
    <row r="190" customFormat="false" ht="15" hidden="false" customHeight="false" outlineLevel="0" collapsed="false">
      <c r="A190" s="17" t="n">
        <f aca="false">Cours_Bruts!A190</f>
        <v>45757</v>
      </c>
      <c r="B190" s="18" t="str">
        <f aca="false">Cours_Bruts!B190</f>
        <v>TTE</v>
      </c>
      <c r="C190" s="19" t="n">
        <f aca="false">Cours_Bruts!C190</f>
        <v>62.91</v>
      </c>
      <c r="D190" s="20" t="n">
        <f aca="false">IF(B190=B189,(C190-C189)/C189,"")</f>
        <v>0.0181259103414792</v>
      </c>
      <c r="E190" s="20" t="n">
        <f aca="false">IF(B190=B189,(1+E189)*(1+IF(D190="",0,D190))-1,0)</f>
        <v>0.0485000000000011</v>
      </c>
      <c r="F190" s="21" t="n">
        <f aca="false">IF(B190=B189,MAX(F189,C190),C190)</f>
        <v>66.39</v>
      </c>
      <c r="G190" s="20" t="n">
        <f aca="false">(C190-F190)/F190</f>
        <v>-0.052417532760958</v>
      </c>
      <c r="H190" s="21" t="n">
        <f aca="true">IF(COUNTIFS($B$2:B190,B190)&gt;=20,AVERAGE(OFFSET(C190,-19,0,20,1)),"")</f>
        <v>62.741</v>
      </c>
      <c r="I190" s="21" t="str">
        <f aca="true">IF(COUNTIFS($B$2:B190,B190)&gt;=50,AVERAGE(OFFSET(C190,-49,0,50,1)),"")</f>
        <v/>
      </c>
    </row>
    <row r="191" customFormat="false" ht="15" hidden="false" customHeight="false" outlineLevel="0" collapsed="false">
      <c r="A191" s="17" t="n">
        <f aca="false">Cours_Bruts!A191</f>
        <v>45758</v>
      </c>
      <c r="B191" s="18" t="str">
        <f aca="false">Cours_Bruts!B191</f>
        <v>TTE</v>
      </c>
      <c r="C191" s="19" t="n">
        <f aca="false">Cours_Bruts!C191</f>
        <v>64.42</v>
      </c>
      <c r="D191" s="20" t="n">
        <f aca="false">IF(B191=B190,(C191-C190)/C190,"")</f>
        <v>0.0240025433158481</v>
      </c>
      <c r="E191" s="20" t="n">
        <f aca="false">IF(B191=B190,(1+E190)*(1+IF(D191="",0,D191))-1,0)</f>
        <v>0.0736666666666679</v>
      </c>
      <c r="F191" s="21" t="n">
        <f aca="false">IF(B191=B190,MAX(F190,C191),C191)</f>
        <v>66.39</v>
      </c>
      <c r="G191" s="20" t="n">
        <f aca="false">(C191-F191)/F191</f>
        <v>-0.0296731435457147</v>
      </c>
      <c r="H191" s="21" t="n">
        <f aca="true">IF(COUNTIFS($B$2:B191,B191)&gt;=20,AVERAGE(OFFSET(C191,-19,0,20,1)),"")</f>
        <v>63.063</v>
      </c>
      <c r="I191" s="21" t="str">
        <f aca="true">IF(COUNTIFS($B$2:B191,B191)&gt;=50,AVERAGE(OFFSET(C191,-49,0,50,1)),"")</f>
        <v/>
      </c>
    </row>
    <row r="192" customFormat="false" ht="15" hidden="false" customHeight="false" outlineLevel="0" collapsed="false">
      <c r="A192" s="17" t="n">
        <f aca="false">Cours_Bruts!A192</f>
        <v>45761</v>
      </c>
      <c r="B192" s="18" t="str">
        <f aca="false">Cours_Bruts!B192</f>
        <v>TTE</v>
      </c>
      <c r="C192" s="19" t="n">
        <f aca="false">Cours_Bruts!C192</f>
        <v>64.9</v>
      </c>
      <c r="D192" s="20" t="n">
        <f aca="false">IF(B192=B191,(C192-C191)/C191,"")</f>
        <v>0.00745110214219193</v>
      </c>
      <c r="E192" s="20" t="n">
        <f aca="false">IF(B192=B191,(1+E191)*(1+IF(D192="",0,D192))-1,0)</f>
        <v>0.0816666666666679</v>
      </c>
      <c r="F192" s="21" t="n">
        <f aca="false">IF(B192=B191,MAX(F191,C192),C192)</f>
        <v>66.39</v>
      </c>
      <c r="G192" s="20" t="n">
        <f aca="false">(C192-F192)/F192</f>
        <v>-0.0224431390269618</v>
      </c>
      <c r="H192" s="21" t="n">
        <f aca="true">IF(COUNTIFS($B$2:B192,B192)&gt;=20,AVERAGE(OFFSET(C192,-19,0,20,1)),"")</f>
        <v>63.3785</v>
      </c>
      <c r="I192" s="21" t="str">
        <f aca="true">IF(COUNTIFS($B$2:B192,B192)&gt;=50,AVERAGE(OFFSET(C192,-49,0,50,1)),"")</f>
        <v/>
      </c>
    </row>
    <row r="193" customFormat="false" ht="15" hidden="false" customHeight="false" outlineLevel="0" collapsed="false">
      <c r="A193" s="17" t="n">
        <f aca="false">Cours_Bruts!A193</f>
        <v>45762</v>
      </c>
      <c r="B193" s="18" t="str">
        <f aca="false">Cours_Bruts!B193</f>
        <v>TTE</v>
      </c>
      <c r="C193" s="19" t="n">
        <f aca="false">Cours_Bruts!C193</f>
        <v>66.93</v>
      </c>
      <c r="D193" s="20" t="n">
        <f aca="false">IF(B193=B192,(C193-C192)/C192,"")</f>
        <v>0.0312788906009245</v>
      </c>
      <c r="E193" s="20" t="n">
        <f aca="false">IF(B193=B192,(1+E192)*(1+IF(D193="",0,D193))-1,0)</f>
        <v>0.115500000000001</v>
      </c>
      <c r="F193" s="21" t="n">
        <f aca="false">IF(B193=B192,MAX(F192,C193),C193)</f>
        <v>66.93</v>
      </c>
      <c r="G193" s="20" t="n">
        <f aca="false">(C193-F193)/F193</f>
        <v>0</v>
      </c>
      <c r="H193" s="21" t="n">
        <f aca="true">IF(COUNTIFS($B$2:B193,B193)&gt;=20,AVERAGE(OFFSET(C193,-19,0,20,1)),"")</f>
        <v>63.865</v>
      </c>
      <c r="I193" s="21" t="str">
        <f aca="true">IF(COUNTIFS($B$2:B193,B193)&gt;=50,AVERAGE(OFFSET(C193,-49,0,50,1)),"")</f>
        <v/>
      </c>
    </row>
    <row r="194" customFormat="false" ht="15" hidden="false" customHeight="false" outlineLevel="0" collapsed="false">
      <c r="A194" s="17" t="n">
        <f aca="false">Cours_Bruts!A194</f>
        <v>45763</v>
      </c>
      <c r="B194" s="18" t="str">
        <f aca="false">Cours_Bruts!B194</f>
        <v>TTE</v>
      </c>
      <c r="C194" s="19" t="n">
        <f aca="false">Cours_Bruts!C194</f>
        <v>65.27</v>
      </c>
      <c r="D194" s="20" t="n">
        <f aca="false">IF(B194=B193,(C194-C193)/C193,"")</f>
        <v>-0.024802031973704</v>
      </c>
      <c r="E194" s="20" t="n">
        <f aca="false">IF(B194=B193,(1+E193)*(1+IF(D194="",0,D194))-1,0)</f>
        <v>0.0878333333333343</v>
      </c>
      <c r="F194" s="21" t="n">
        <f aca="false">IF(B194=B193,MAX(F193,C194),C194)</f>
        <v>66.93</v>
      </c>
      <c r="G194" s="20" t="n">
        <f aca="false">(C194-F194)/F194</f>
        <v>-0.024802031973704</v>
      </c>
      <c r="H194" s="21" t="n">
        <f aca="true">IF(COUNTIFS($B$2:B194,B194)&gt;=20,AVERAGE(OFFSET(C194,-19,0,20,1)),"")</f>
        <v>64.139</v>
      </c>
      <c r="I194" s="21" t="str">
        <f aca="true">IF(COUNTIFS($B$2:B194,B194)&gt;=50,AVERAGE(OFFSET(C194,-49,0,50,1)),"")</f>
        <v/>
      </c>
    </row>
    <row r="195" customFormat="false" ht="15" hidden="false" customHeight="false" outlineLevel="0" collapsed="false">
      <c r="A195" s="17" t="n">
        <f aca="false">Cours_Bruts!A195</f>
        <v>45764</v>
      </c>
      <c r="B195" s="18" t="str">
        <f aca="false">Cours_Bruts!B195</f>
        <v>TTE</v>
      </c>
      <c r="C195" s="19" t="n">
        <f aca="false">Cours_Bruts!C195</f>
        <v>67.56</v>
      </c>
      <c r="D195" s="20" t="n">
        <f aca="false">IF(B195=B194,(C195-C194)/C194,"")</f>
        <v>0.0350850314079976</v>
      </c>
      <c r="E195" s="20" t="n">
        <f aca="false">IF(B195=B194,(1+E194)*(1+IF(D195="",0,D195))-1,0)</f>
        <v>0.126000000000001</v>
      </c>
      <c r="F195" s="21" t="n">
        <f aca="false">IF(B195=B194,MAX(F194,C195),C195)</f>
        <v>67.56</v>
      </c>
      <c r="G195" s="20" t="n">
        <f aca="false">(C195-F195)/F195</f>
        <v>0</v>
      </c>
      <c r="H195" s="21" t="n">
        <f aca="true">IF(COUNTIFS($B$2:B195,B195)&gt;=20,AVERAGE(OFFSET(C195,-19,0,20,1)),"")</f>
        <v>64.4225</v>
      </c>
      <c r="I195" s="21" t="str">
        <f aca="true">IF(COUNTIFS($B$2:B195,B195)&gt;=50,AVERAGE(OFFSET(C195,-49,0,50,1)),"")</f>
        <v/>
      </c>
    </row>
    <row r="196" customFormat="false" ht="15" hidden="false" customHeight="false" outlineLevel="0" collapsed="false">
      <c r="A196" s="17" t="n">
        <f aca="false">Cours_Bruts!A196</f>
        <v>45765</v>
      </c>
      <c r="B196" s="18" t="str">
        <f aca="false">Cours_Bruts!B196</f>
        <v>TTE</v>
      </c>
      <c r="C196" s="19" t="n">
        <f aca="false">Cours_Bruts!C196</f>
        <v>66.64</v>
      </c>
      <c r="D196" s="20" t="n">
        <f aca="false">IF(B196=B195,(C196-C195)/C195,"")</f>
        <v>-0.0136175251628183</v>
      </c>
      <c r="E196" s="20" t="n">
        <f aca="false">IF(B196=B195,(1+E195)*(1+IF(D196="",0,D196))-1,0)</f>
        <v>0.110666666666668</v>
      </c>
      <c r="F196" s="21" t="n">
        <f aca="false">IF(B196=B195,MAX(F195,C196),C196)</f>
        <v>67.56</v>
      </c>
      <c r="G196" s="20" t="n">
        <f aca="false">(C196-F196)/F196</f>
        <v>-0.0136175251628183</v>
      </c>
      <c r="H196" s="21" t="n">
        <f aca="true">IF(COUNTIFS($B$2:B196,B196)&gt;=20,AVERAGE(OFFSET(C196,-19,0,20,1)),"")</f>
        <v>64.58</v>
      </c>
      <c r="I196" s="21" t="str">
        <f aca="true">IF(COUNTIFS($B$2:B196,B196)&gt;=50,AVERAGE(OFFSET(C196,-49,0,50,1)),"")</f>
        <v/>
      </c>
    </row>
    <row r="197" customFormat="false" ht="15" hidden="false" customHeight="false" outlineLevel="0" collapsed="false">
      <c r="A197" s="17" t="n">
        <f aca="false">Cours_Bruts!A197</f>
        <v>45768</v>
      </c>
      <c r="B197" s="18" t="str">
        <f aca="false">Cours_Bruts!B197</f>
        <v>TTE</v>
      </c>
      <c r="C197" s="19" t="n">
        <f aca="false">Cours_Bruts!C197</f>
        <v>65.04</v>
      </c>
      <c r="D197" s="20" t="n">
        <f aca="false">IF(B197=B196,(C197-C196)/C196,"")</f>
        <v>-0.0240096038415365</v>
      </c>
      <c r="E197" s="20" t="n">
        <f aca="false">IF(B197=B196,(1+E196)*(1+IF(D197="",0,D197))-1,0)</f>
        <v>0.084000000000001</v>
      </c>
      <c r="F197" s="21" t="n">
        <f aca="false">IF(B197=B196,MAX(F196,C197),C197)</f>
        <v>67.56</v>
      </c>
      <c r="G197" s="20" t="n">
        <f aca="false">(C197-F197)/F197</f>
        <v>-0.0373001776198934</v>
      </c>
      <c r="H197" s="21" t="n">
        <f aca="true">IF(COUNTIFS($B$2:B197,B197)&gt;=20,AVERAGE(OFFSET(C197,-19,0,20,1)),"")</f>
        <v>64.607</v>
      </c>
      <c r="I197" s="21" t="str">
        <f aca="true">IF(COUNTIFS($B$2:B197,B197)&gt;=50,AVERAGE(OFFSET(C197,-49,0,50,1)),"")</f>
        <v/>
      </c>
    </row>
    <row r="198" customFormat="false" ht="15" hidden="false" customHeight="false" outlineLevel="0" collapsed="false">
      <c r="A198" s="17" t="n">
        <f aca="false">Cours_Bruts!A198</f>
        <v>45769</v>
      </c>
      <c r="B198" s="18" t="str">
        <f aca="false">Cours_Bruts!B198</f>
        <v>TTE</v>
      </c>
      <c r="C198" s="19" t="n">
        <f aca="false">Cours_Bruts!C198</f>
        <v>64.76</v>
      </c>
      <c r="D198" s="20" t="n">
        <f aca="false">IF(B198=B197,(C198-C197)/C197,"")</f>
        <v>-0.00430504305043052</v>
      </c>
      <c r="E198" s="20" t="n">
        <f aca="false">IF(B198=B197,(1+E197)*(1+IF(D198="",0,D198))-1,0)</f>
        <v>0.0793333333333341</v>
      </c>
      <c r="F198" s="21" t="n">
        <f aca="false">IF(B198=B197,MAX(F197,C198),C198)</f>
        <v>67.56</v>
      </c>
      <c r="G198" s="20" t="n">
        <f aca="false">(C198-F198)/F198</f>
        <v>-0.0414446417998815</v>
      </c>
      <c r="H198" s="21" t="n">
        <f aca="true">IF(COUNTIFS($B$2:B198,B198)&gt;=20,AVERAGE(OFFSET(C198,-19,0,20,1)),"")</f>
        <v>64.6185</v>
      </c>
      <c r="I198" s="21" t="str">
        <f aca="true">IF(COUNTIFS($B$2:B198,B198)&gt;=50,AVERAGE(OFFSET(C198,-49,0,50,1)),"")</f>
        <v/>
      </c>
    </row>
    <row r="199" customFormat="false" ht="15" hidden="false" customHeight="false" outlineLevel="0" collapsed="false">
      <c r="A199" s="17" t="n">
        <f aca="false">Cours_Bruts!A199</f>
        <v>45770</v>
      </c>
      <c r="B199" s="18" t="str">
        <f aca="false">Cours_Bruts!B199</f>
        <v>TTE</v>
      </c>
      <c r="C199" s="19" t="n">
        <f aca="false">Cours_Bruts!C199</f>
        <v>67.06</v>
      </c>
      <c r="D199" s="20" t="n">
        <f aca="false">IF(B199=B198,(C199-C198)/C198,"")</f>
        <v>0.0355157504632489</v>
      </c>
      <c r="E199" s="20" t="n">
        <f aca="false">IF(B199=B198,(1+E198)*(1+IF(D199="",0,D199))-1,0)</f>
        <v>0.117666666666667</v>
      </c>
      <c r="F199" s="21" t="n">
        <f aca="false">IF(B199=B198,MAX(F198,C199),C199)</f>
        <v>67.56</v>
      </c>
      <c r="G199" s="20" t="n">
        <f aca="false">(C199-F199)/F199</f>
        <v>-0.007400828892836</v>
      </c>
      <c r="H199" s="21" t="n">
        <f aca="true">IF(COUNTIFS($B$2:B199,B199)&gt;=20,AVERAGE(OFFSET(C199,-19,0,20,1)),"")</f>
        <v>64.7175</v>
      </c>
      <c r="I199" s="21" t="str">
        <f aca="true">IF(COUNTIFS($B$2:B199,B199)&gt;=50,AVERAGE(OFFSET(C199,-49,0,50,1)),"")</f>
        <v/>
      </c>
    </row>
    <row r="200" customFormat="false" ht="15" hidden="false" customHeight="false" outlineLevel="0" collapsed="false">
      <c r="A200" s="17" t="n">
        <f aca="false">Cours_Bruts!A200</f>
        <v>45771</v>
      </c>
      <c r="B200" s="18" t="str">
        <f aca="false">Cours_Bruts!B200</f>
        <v>TTE</v>
      </c>
      <c r="C200" s="19" t="n">
        <f aca="false">Cours_Bruts!C200</f>
        <v>67.05</v>
      </c>
      <c r="D200" s="20" t="n">
        <f aca="false">IF(B200=B199,(C200-C199)/C199,"")</f>
        <v>-0.000149120190873921</v>
      </c>
      <c r="E200" s="20" t="n">
        <f aca="false">IF(B200=B199,(1+E199)*(1+IF(D200="",0,D200))-1,0)</f>
        <v>0.117500000000001</v>
      </c>
      <c r="F200" s="21" t="n">
        <f aca="false">IF(B200=B199,MAX(F199,C200),C200)</f>
        <v>67.56</v>
      </c>
      <c r="G200" s="20" t="n">
        <f aca="false">(C200-F200)/F200</f>
        <v>-0.00754884547069279</v>
      </c>
      <c r="H200" s="21" t="n">
        <f aca="true">IF(COUNTIFS($B$2:B200,B200)&gt;=20,AVERAGE(OFFSET(C200,-19,0,20,1)),"")</f>
        <v>64.7505</v>
      </c>
      <c r="I200" s="21" t="str">
        <f aca="true">IF(COUNTIFS($B$2:B200,B200)&gt;=50,AVERAGE(OFFSET(C200,-49,0,50,1)),"")</f>
        <v/>
      </c>
    </row>
    <row r="201" customFormat="false" ht="15" hidden="false" customHeight="false" outlineLevel="0" collapsed="false">
      <c r="A201" s="17" t="n">
        <f aca="false">Cours_Bruts!A201</f>
        <v>45772</v>
      </c>
      <c r="B201" s="18" t="str">
        <f aca="false">Cours_Bruts!B201</f>
        <v>TTE</v>
      </c>
      <c r="C201" s="19" t="n">
        <f aca="false">Cours_Bruts!C201</f>
        <v>65.88</v>
      </c>
      <c r="D201" s="20" t="n">
        <f aca="false">IF(B201=B200,(C201-C200)/C200,"")</f>
        <v>-0.0174496644295302</v>
      </c>
      <c r="E201" s="20" t="n">
        <f aca="false">IF(B201=B200,(1+E200)*(1+IF(D201="",0,D201))-1,0)</f>
        <v>0.0980000000000008</v>
      </c>
      <c r="F201" s="21" t="n">
        <f aca="false">IF(B201=B200,MAX(F200,C201),C201)</f>
        <v>67.56</v>
      </c>
      <c r="G201" s="20" t="n">
        <f aca="false">(C201-F201)/F201</f>
        <v>-0.0248667850799291</v>
      </c>
      <c r="H201" s="21" t="n">
        <f aca="true">IF(COUNTIFS($B$2:B201,B201)&gt;=20,AVERAGE(OFFSET(C201,-19,0,20,1)),"")</f>
        <v>64.764</v>
      </c>
      <c r="I201" s="21" t="str">
        <f aca="true">IF(COUNTIFS($B$2:B201,B201)&gt;=50,AVERAGE(OFFSET(C201,-49,0,50,1)),"")</f>
        <v/>
      </c>
    </row>
    <row r="202" customFormat="false" ht="15" hidden="false" customHeight="false" outlineLevel="0" collapsed="false">
      <c r="A202" s="17" t="n">
        <f aca="false">Cours_Bruts!A202</f>
        <v>45775</v>
      </c>
      <c r="B202" s="18" t="str">
        <f aca="false">Cours_Bruts!B202</f>
        <v>TTE</v>
      </c>
      <c r="C202" s="19" t="n">
        <f aca="false">Cours_Bruts!C202</f>
        <v>64.28</v>
      </c>
      <c r="D202" s="20" t="n">
        <f aca="false">IF(B202=B201,(C202-C201)/C201,"")</f>
        <v>-0.0242865816636308</v>
      </c>
      <c r="E202" s="20" t="n">
        <f aca="false">IF(B202=B201,(1+E201)*(1+IF(D202="",0,D202))-1,0)</f>
        <v>0.0713333333333341</v>
      </c>
      <c r="F202" s="21" t="n">
        <f aca="false">IF(B202=B201,MAX(F201,C202),C202)</f>
        <v>67.56</v>
      </c>
      <c r="G202" s="20" t="n">
        <f aca="false">(C202-F202)/F202</f>
        <v>-0.0485494375370042</v>
      </c>
      <c r="H202" s="21" t="n">
        <f aca="true">IF(COUNTIFS($B$2:B202,B202)&gt;=20,AVERAGE(OFFSET(C202,-19,0,20,1)),"")</f>
        <v>64.7245</v>
      </c>
      <c r="I202" s="21" t="str">
        <f aca="true">IF(COUNTIFS($B$2:B202,B202)&gt;=50,AVERAGE(OFFSET(C202,-49,0,50,1)),"")</f>
        <v/>
      </c>
    </row>
    <row r="203" customFormat="false" ht="15" hidden="false" customHeight="false" outlineLevel="0" collapsed="false">
      <c r="A203" s="17" t="n">
        <f aca="false">Cours_Bruts!A203</f>
        <v>45776</v>
      </c>
      <c r="B203" s="18" t="str">
        <f aca="false">Cours_Bruts!B203</f>
        <v>TTE</v>
      </c>
      <c r="C203" s="19" t="n">
        <f aca="false">Cours_Bruts!C203</f>
        <v>64.17</v>
      </c>
      <c r="D203" s="20" t="n">
        <f aca="false">IF(B203=B202,(C203-C202)/C202,"")</f>
        <v>-0.00171126322339763</v>
      </c>
      <c r="E203" s="20" t="n">
        <f aca="false">IF(B203=B202,(1+E202)*(1+IF(D203="",0,D203))-1,0)</f>
        <v>0.0695000000000008</v>
      </c>
      <c r="F203" s="21" t="n">
        <f aca="false">IF(B203=B202,MAX(F202,C203),C203)</f>
        <v>67.56</v>
      </c>
      <c r="G203" s="20" t="n">
        <f aca="false">(C203-F203)/F203</f>
        <v>-0.0501776198934281</v>
      </c>
      <c r="H203" s="21" t="n">
        <f aca="true">IF(COUNTIFS($B$2:B203,B203)&gt;=20,AVERAGE(OFFSET(C203,-19,0,20,1)),"")</f>
        <v>64.7815</v>
      </c>
      <c r="I203" s="21" t="str">
        <f aca="true">IF(COUNTIFS($B$2:B203,B203)&gt;=50,AVERAGE(OFFSET(C203,-49,0,50,1)),"")</f>
        <v/>
      </c>
    </row>
    <row r="204" customFormat="false" ht="15" hidden="false" customHeight="false" outlineLevel="0" collapsed="false">
      <c r="A204" s="17" t="n">
        <f aca="false">Cours_Bruts!A204</f>
        <v>45777</v>
      </c>
      <c r="B204" s="18" t="str">
        <f aca="false">Cours_Bruts!B204</f>
        <v>TTE</v>
      </c>
      <c r="C204" s="19" t="n">
        <f aca="false">Cours_Bruts!C204</f>
        <v>61.76</v>
      </c>
      <c r="D204" s="20" t="n">
        <f aca="false">IF(B204=B203,(C204-C203)/C203,"")</f>
        <v>-0.0375564905719184</v>
      </c>
      <c r="E204" s="20" t="n">
        <f aca="false">IF(B204=B203,(1+E203)*(1+IF(D204="",0,D204))-1,0)</f>
        <v>0.0293333333333341</v>
      </c>
      <c r="F204" s="21" t="n">
        <f aca="false">IF(B204=B203,MAX(F203,C204),C204)</f>
        <v>67.56</v>
      </c>
      <c r="G204" s="20" t="n">
        <f aca="false">(C204-F204)/F204</f>
        <v>-0.0858496151568976</v>
      </c>
      <c r="H204" s="21" t="n">
        <f aca="true">IF(COUNTIFS($B$2:B204,B204)&gt;=20,AVERAGE(OFFSET(C204,-19,0,20,1)),"")</f>
        <v>64.763</v>
      </c>
      <c r="I204" s="21" t="str">
        <f aca="true">IF(COUNTIFS($B$2:B204,B204)&gt;=50,AVERAGE(OFFSET(C204,-49,0,50,1)),"")</f>
        <v/>
      </c>
    </row>
    <row r="205" customFormat="false" ht="15" hidden="false" customHeight="false" outlineLevel="0" collapsed="false">
      <c r="A205" s="17" t="n">
        <f aca="false">Cours_Bruts!A205</f>
        <v>45778</v>
      </c>
      <c r="B205" s="18" t="str">
        <f aca="false">Cours_Bruts!B205</f>
        <v>TTE</v>
      </c>
      <c r="C205" s="19" t="n">
        <f aca="false">Cours_Bruts!C205</f>
        <v>60.26</v>
      </c>
      <c r="D205" s="20" t="n">
        <f aca="false">IF(B205=B204,(C205-C204)/C204,"")</f>
        <v>-0.0242875647668394</v>
      </c>
      <c r="E205" s="20" t="n">
        <f aca="false">IF(B205=B204,(1+E204)*(1+IF(D205="",0,D205))-1,0)</f>
        <v>0.00433333333333419</v>
      </c>
      <c r="F205" s="21" t="n">
        <f aca="false">IF(B205=B204,MAX(F204,C205),C205)</f>
        <v>67.56</v>
      </c>
      <c r="G205" s="20" t="n">
        <f aca="false">(C205-F205)/F205</f>
        <v>-0.108052101835406</v>
      </c>
      <c r="H205" s="21" t="n">
        <f aca="true">IF(COUNTIFS($B$2:B205,B205)&gt;=20,AVERAGE(OFFSET(C205,-19,0,20,1)),"")</f>
        <v>64.5715</v>
      </c>
      <c r="I205" s="21" t="str">
        <f aca="true">IF(COUNTIFS($B$2:B205,B205)&gt;=50,AVERAGE(OFFSET(C205,-49,0,50,1)),"")</f>
        <v/>
      </c>
    </row>
    <row r="206" customFormat="false" ht="15" hidden="false" customHeight="false" outlineLevel="0" collapsed="false">
      <c r="A206" s="17" t="n">
        <f aca="false">Cours_Bruts!A206</f>
        <v>45779</v>
      </c>
      <c r="B206" s="18" t="str">
        <f aca="false">Cours_Bruts!B206</f>
        <v>TTE</v>
      </c>
      <c r="C206" s="19" t="n">
        <f aca="false">Cours_Bruts!C206</f>
        <v>62.03</v>
      </c>
      <c r="D206" s="20" t="n">
        <f aca="false">IF(B206=B205,(C206-C205)/C205,"")</f>
        <v>0.0293727182210422</v>
      </c>
      <c r="E206" s="20" t="n">
        <f aca="false">IF(B206=B205,(1+E205)*(1+IF(D206="",0,D206))-1,0)</f>
        <v>0.0338333333333343</v>
      </c>
      <c r="F206" s="21" t="n">
        <f aca="false">IF(B206=B205,MAX(F205,C206),C206)</f>
        <v>67.56</v>
      </c>
      <c r="G206" s="20" t="n">
        <f aca="false">(C206-F206)/F206</f>
        <v>-0.0818531675547662</v>
      </c>
      <c r="H206" s="21" t="n">
        <f aca="true">IF(COUNTIFS($B$2:B206,B206)&gt;=20,AVERAGE(OFFSET(C206,-19,0,20,1)),"")</f>
        <v>64.488</v>
      </c>
      <c r="I206" s="21" t="str">
        <f aca="true">IF(COUNTIFS($B$2:B206,B206)&gt;=50,AVERAGE(OFFSET(C206,-49,0,50,1)),"")</f>
        <v/>
      </c>
    </row>
    <row r="207" customFormat="false" ht="15" hidden="false" customHeight="false" outlineLevel="0" collapsed="false">
      <c r="A207" s="17" t="n">
        <f aca="false">Cours_Bruts!A207</f>
        <v>45782</v>
      </c>
      <c r="B207" s="18" t="str">
        <f aca="false">Cours_Bruts!B207</f>
        <v>TTE</v>
      </c>
      <c r="C207" s="19" t="n">
        <f aca="false">Cours_Bruts!C207</f>
        <v>63.59</v>
      </c>
      <c r="D207" s="20" t="n">
        <f aca="false">IF(B207=B206,(C207-C206)/C206,"")</f>
        <v>0.0251491213928745</v>
      </c>
      <c r="E207" s="20" t="n">
        <f aca="false">IF(B207=B206,(1+E206)*(1+IF(D207="",0,D207))-1,0)</f>
        <v>0.0598333333333343</v>
      </c>
      <c r="F207" s="21" t="n">
        <f aca="false">IF(B207=B206,MAX(F206,C207),C207)</f>
        <v>67.56</v>
      </c>
      <c r="G207" s="20" t="n">
        <f aca="false">(C207-F207)/F207</f>
        <v>-0.0587625814091178</v>
      </c>
      <c r="H207" s="21" t="n">
        <f aca="true">IF(COUNTIFS($B$2:B207,B207)&gt;=20,AVERAGE(OFFSET(C207,-19,0,20,1)),"")</f>
        <v>64.501</v>
      </c>
      <c r="I207" s="21" t="str">
        <f aca="true">IF(COUNTIFS($B$2:B207,B207)&gt;=50,AVERAGE(OFFSET(C207,-49,0,50,1)),"")</f>
        <v/>
      </c>
    </row>
    <row r="208" customFormat="false" ht="15" hidden="false" customHeight="false" outlineLevel="0" collapsed="false">
      <c r="A208" s="17" t="n">
        <f aca="false">Cours_Bruts!A208</f>
        <v>45783</v>
      </c>
      <c r="B208" s="18" t="str">
        <f aca="false">Cours_Bruts!B208</f>
        <v>TTE</v>
      </c>
      <c r="C208" s="19" t="n">
        <f aca="false">Cours_Bruts!C208</f>
        <v>63.45</v>
      </c>
      <c r="D208" s="20" t="n">
        <f aca="false">IF(B208=B207,(C208-C207)/C207,"")</f>
        <v>-0.00220160402579023</v>
      </c>
      <c r="E208" s="20" t="n">
        <f aca="false">IF(B208=B207,(1+E207)*(1+IF(D208="",0,D208))-1,0)</f>
        <v>0.057500000000001</v>
      </c>
      <c r="F208" s="21" t="n">
        <f aca="false">IF(B208=B207,MAX(F207,C208),C208)</f>
        <v>67.56</v>
      </c>
      <c r="G208" s="20" t="n">
        <f aca="false">(C208-F208)/F208</f>
        <v>-0.0608348134991119</v>
      </c>
      <c r="H208" s="21" t="n">
        <f aca="true">IF(COUNTIFS($B$2:B208,B208)&gt;=20,AVERAGE(OFFSET(C208,-19,0,20,1)),"")</f>
        <v>64.4875</v>
      </c>
      <c r="I208" s="21" t="str">
        <f aca="true">IF(COUNTIFS($B$2:B208,B208)&gt;=50,AVERAGE(OFFSET(C208,-49,0,50,1)),"")</f>
        <v/>
      </c>
    </row>
    <row r="209" customFormat="false" ht="15" hidden="false" customHeight="false" outlineLevel="0" collapsed="false">
      <c r="A209" s="17" t="n">
        <f aca="false">Cours_Bruts!A209</f>
        <v>45784</v>
      </c>
      <c r="B209" s="18" t="str">
        <f aca="false">Cours_Bruts!B209</f>
        <v>TTE</v>
      </c>
      <c r="C209" s="19" t="n">
        <f aca="false">Cours_Bruts!C209</f>
        <v>62.9</v>
      </c>
      <c r="D209" s="20" t="n">
        <f aca="false">IF(B209=B208,(C209-C208)/C208,"")</f>
        <v>-0.00866824271079597</v>
      </c>
      <c r="E209" s="20" t="n">
        <f aca="false">IF(B209=B208,(1+E208)*(1+IF(D209="",0,D209))-1,0)</f>
        <v>0.0483333333333342</v>
      </c>
      <c r="F209" s="21" t="n">
        <f aca="false">IF(B209=B208,MAX(F208,C209),C209)</f>
        <v>67.56</v>
      </c>
      <c r="G209" s="20" t="n">
        <f aca="false">(C209-F209)/F209</f>
        <v>-0.0689757252812316</v>
      </c>
      <c r="H209" s="21" t="n">
        <f aca="true">IF(COUNTIFS($B$2:B209,B209)&gt;=20,AVERAGE(OFFSET(C209,-19,0,20,1)),"")</f>
        <v>64.543</v>
      </c>
      <c r="I209" s="21" t="str">
        <f aca="true">IF(COUNTIFS($B$2:B209,B209)&gt;=50,AVERAGE(OFFSET(C209,-49,0,50,1)),"")</f>
        <v/>
      </c>
    </row>
    <row r="210" customFormat="false" ht="15" hidden="false" customHeight="false" outlineLevel="0" collapsed="false">
      <c r="A210" s="17" t="n">
        <f aca="false">Cours_Bruts!A210</f>
        <v>45785</v>
      </c>
      <c r="B210" s="18" t="str">
        <f aca="false">Cours_Bruts!B210</f>
        <v>TTE</v>
      </c>
      <c r="C210" s="19" t="n">
        <f aca="false">Cours_Bruts!C210</f>
        <v>62.98</v>
      </c>
      <c r="D210" s="20" t="n">
        <f aca="false">IF(B210=B209,(C210-C209)/C209,"")</f>
        <v>0.00127186009538948</v>
      </c>
      <c r="E210" s="20" t="n">
        <f aca="false">IF(B210=B209,(1+E209)*(1+IF(D210="",0,D210))-1,0)</f>
        <v>0.0496666666666674</v>
      </c>
      <c r="F210" s="21" t="n">
        <f aca="false">IF(B210=B209,MAX(F209,C210),C210)</f>
        <v>67.56</v>
      </c>
      <c r="G210" s="20" t="n">
        <f aca="false">(C210-F210)/F210</f>
        <v>-0.0677915926583778</v>
      </c>
      <c r="H210" s="21" t="n">
        <f aca="true">IF(COUNTIFS($B$2:B210,B210)&gt;=20,AVERAGE(OFFSET(C210,-19,0,20,1)),"")</f>
        <v>64.5465</v>
      </c>
      <c r="I210" s="21" t="str">
        <f aca="true">IF(COUNTIFS($B$2:B210,B210)&gt;=50,AVERAGE(OFFSET(C210,-49,0,50,1)),"")</f>
        <v/>
      </c>
    </row>
    <row r="211" customFormat="false" ht="15" hidden="false" customHeight="false" outlineLevel="0" collapsed="false">
      <c r="A211" s="17" t="n">
        <f aca="false">Cours_Bruts!A211</f>
        <v>45786</v>
      </c>
      <c r="B211" s="18" t="str">
        <f aca="false">Cours_Bruts!B211</f>
        <v>TTE</v>
      </c>
      <c r="C211" s="19" t="n">
        <f aca="false">Cours_Bruts!C211</f>
        <v>65.79</v>
      </c>
      <c r="D211" s="20" t="n">
        <f aca="false">IF(B211=B210,(C211-C210)/C210,"")</f>
        <v>0.0446173388377264</v>
      </c>
      <c r="E211" s="20" t="n">
        <f aca="false">IF(B211=B210,(1+E210)*(1+IF(D211="",0,D211))-1,0)</f>
        <v>0.0965000000000009</v>
      </c>
      <c r="F211" s="21" t="n">
        <f aca="false">IF(B211=B210,MAX(F210,C211),C211)</f>
        <v>67.56</v>
      </c>
      <c r="G211" s="20" t="n">
        <f aca="false">(C211-F211)/F211</f>
        <v>-0.0261989342806394</v>
      </c>
      <c r="H211" s="21" t="n">
        <f aca="true">IF(COUNTIFS($B$2:B211,B211)&gt;=20,AVERAGE(OFFSET(C211,-19,0,20,1)),"")</f>
        <v>64.615</v>
      </c>
      <c r="I211" s="21" t="n">
        <f aca="true">IF(COUNTIFS($B$2:B211,B211)&gt;=50,AVERAGE(OFFSET(C211,-49,0,50,1)),"")</f>
        <v>62.6302</v>
      </c>
    </row>
    <row r="212" customFormat="false" ht="15" hidden="false" customHeight="false" outlineLevel="0" collapsed="false">
      <c r="A212" s="17" t="n">
        <f aca="false">Cours_Bruts!A212</f>
        <v>45789</v>
      </c>
      <c r="B212" s="18" t="str">
        <f aca="false">Cours_Bruts!B212</f>
        <v>TTE</v>
      </c>
      <c r="C212" s="19" t="n">
        <f aca="false">Cours_Bruts!C212</f>
        <v>66.31</v>
      </c>
      <c r="D212" s="20" t="n">
        <f aca="false">IF(B212=B211,(C212-C211)/C211,"")</f>
        <v>0.00790393676850579</v>
      </c>
      <c r="E212" s="20" t="n">
        <f aca="false">IF(B212=B211,(1+E211)*(1+IF(D212="",0,D212))-1,0)</f>
        <v>0.105166666666668</v>
      </c>
      <c r="F212" s="21" t="n">
        <f aca="false">IF(B212=B211,MAX(F211,C212),C212)</f>
        <v>67.56</v>
      </c>
      <c r="G212" s="20" t="n">
        <f aca="false">(C212-F212)/F212</f>
        <v>-0.01850207223209</v>
      </c>
      <c r="H212" s="21" t="n">
        <f aca="true">IF(COUNTIFS($B$2:B212,B212)&gt;=20,AVERAGE(OFFSET(C212,-19,0,20,1)),"")</f>
        <v>64.6855</v>
      </c>
      <c r="I212" s="21" t="n">
        <f aca="true">IF(COUNTIFS($B$2:B212,B212)&gt;=50,AVERAGE(OFFSET(C212,-49,0,50,1)),"")</f>
        <v>62.7564</v>
      </c>
    </row>
    <row r="213" customFormat="false" ht="15" hidden="false" customHeight="false" outlineLevel="0" collapsed="false">
      <c r="A213" s="17" t="n">
        <f aca="false">Cours_Bruts!A213</f>
        <v>45790</v>
      </c>
      <c r="B213" s="18" t="str">
        <f aca="false">Cours_Bruts!B213</f>
        <v>TTE</v>
      </c>
      <c r="C213" s="19" t="n">
        <f aca="false">Cours_Bruts!C213</f>
        <v>67.46</v>
      </c>
      <c r="D213" s="20" t="n">
        <f aca="false">IF(B213=B212,(C213-C212)/C212,"")</f>
        <v>0.0173427838938319</v>
      </c>
      <c r="E213" s="20" t="n">
        <f aca="false">IF(B213=B212,(1+E212)*(1+IF(D213="",0,D213))-1,0)</f>
        <v>0.124333333333334</v>
      </c>
      <c r="F213" s="21" t="n">
        <f aca="false">IF(B213=B212,MAX(F212,C213),C213)</f>
        <v>67.56</v>
      </c>
      <c r="G213" s="20" t="n">
        <f aca="false">(C213-F213)/F213</f>
        <v>-0.00148016577856733</v>
      </c>
      <c r="H213" s="21" t="n">
        <f aca="true">IF(COUNTIFS($B$2:B213,B213)&gt;=20,AVERAGE(OFFSET(C213,-19,0,20,1)),"")</f>
        <v>64.712</v>
      </c>
      <c r="I213" s="21" t="n">
        <f aca="true">IF(COUNTIFS($B$2:B213,B213)&gt;=50,AVERAGE(OFFSET(C213,-49,0,50,1)),"")</f>
        <v>62.9174</v>
      </c>
    </row>
    <row r="214" customFormat="false" ht="15" hidden="false" customHeight="false" outlineLevel="0" collapsed="false">
      <c r="A214" s="17" t="n">
        <f aca="false">Cours_Bruts!A214</f>
        <v>45791</v>
      </c>
      <c r="B214" s="18" t="str">
        <f aca="false">Cours_Bruts!B214</f>
        <v>TTE</v>
      </c>
      <c r="C214" s="19" t="n">
        <f aca="false">Cours_Bruts!C214</f>
        <v>67.22</v>
      </c>
      <c r="D214" s="20" t="n">
        <f aca="false">IF(B214=B213,(C214-C213)/C213,"")</f>
        <v>-0.00355766380077075</v>
      </c>
      <c r="E214" s="20" t="n">
        <f aca="false">IF(B214=B213,(1+E213)*(1+IF(D214="",0,D214))-1,0)</f>
        <v>0.120333333333334</v>
      </c>
      <c r="F214" s="21" t="n">
        <f aca="false">IF(B214=B213,MAX(F213,C214),C214)</f>
        <v>67.56</v>
      </c>
      <c r="G214" s="20" t="n">
        <f aca="false">(C214-F214)/F214</f>
        <v>-0.00503256364712853</v>
      </c>
      <c r="H214" s="21" t="n">
        <f aca="true">IF(COUNTIFS($B$2:B214,B214)&gt;=20,AVERAGE(OFFSET(C214,-19,0,20,1)),"")</f>
        <v>64.8095</v>
      </c>
      <c r="I214" s="21" t="n">
        <f aca="true">IF(COUNTIFS($B$2:B214,B214)&gt;=50,AVERAGE(OFFSET(C214,-49,0,50,1)),"")</f>
        <v>63.1136</v>
      </c>
    </row>
    <row r="215" customFormat="false" ht="15" hidden="false" customHeight="false" outlineLevel="0" collapsed="false">
      <c r="A215" s="17" t="n">
        <f aca="false">Cours_Bruts!A215</f>
        <v>45792</v>
      </c>
      <c r="B215" s="18" t="str">
        <f aca="false">Cours_Bruts!B215</f>
        <v>TTE</v>
      </c>
      <c r="C215" s="19" t="n">
        <f aca="false">Cours_Bruts!C215</f>
        <v>67.31</v>
      </c>
      <c r="D215" s="20" t="n">
        <f aca="false">IF(B215=B214,(C215-C214)/C214,"")</f>
        <v>0.00133888723594173</v>
      </c>
      <c r="E215" s="20" t="n">
        <f aca="false">IF(B215=B214,(1+E214)*(1+IF(D215="",0,D215))-1,0)</f>
        <v>0.121833333333334</v>
      </c>
      <c r="F215" s="21" t="n">
        <f aca="false">IF(B215=B214,MAX(F214,C215),C215)</f>
        <v>67.56</v>
      </c>
      <c r="G215" s="20" t="n">
        <f aca="false">(C215-F215)/F215</f>
        <v>-0.003700414446418</v>
      </c>
      <c r="H215" s="21" t="n">
        <f aca="true">IF(COUNTIFS($B$2:B215,B215)&gt;=20,AVERAGE(OFFSET(C215,-19,0,20,1)),"")</f>
        <v>64.797</v>
      </c>
      <c r="I215" s="21" t="n">
        <f aca="true">IF(COUNTIFS($B$2:B215,B215)&gt;=50,AVERAGE(OFFSET(C215,-49,0,50,1)),"")</f>
        <v>63.3036</v>
      </c>
    </row>
    <row r="216" customFormat="false" ht="15" hidden="false" customHeight="false" outlineLevel="0" collapsed="false">
      <c r="A216" s="17" t="n">
        <f aca="false">Cours_Bruts!A216</f>
        <v>45793</v>
      </c>
      <c r="B216" s="18" t="str">
        <f aca="false">Cours_Bruts!B216</f>
        <v>TTE</v>
      </c>
      <c r="C216" s="19" t="n">
        <f aca="false">Cours_Bruts!C216</f>
        <v>68.14</v>
      </c>
      <c r="D216" s="20" t="n">
        <f aca="false">IF(B216=B215,(C216-C215)/C215,"")</f>
        <v>0.012331005794087</v>
      </c>
      <c r="E216" s="20" t="n">
        <f aca="false">IF(B216=B215,(1+E215)*(1+IF(D216="",0,D216))-1,0)</f>
        <v>0.135666666666668</v>
      </c>
      <c r="F216" s="21" t="n">
        <f aca="false">IF(B216=B215,MAX(F215,C216),C216)</f>
        <v>68.14</v>
      </c>
      <c r="G216" s="20" t="n">
        <f aca="false">(C216-F216)/F216</f>
        <v>0</v>
      </c>
      <c r="H216" s="21" t="n">
        <f aca="true">IF(COUNTIFS($B$2:B216,B216)&gt;=20,AVERAGE(OFFSET(C216,-19,0,20,1)),"")</f>
        <v>64.872</v>
      </c>
      <c r="I216" s="21" t="n">
        <f aca="true">IF(COUNTIFS($B$2:B216,B216)&gt;=50,AVERAGE(OFFSET(C216,-49,0,50,1)),"")</f>
        <v>63.519</v>
      </c>
    </row>
    <row r="217" customFormat="false" ht="15" hidden="false" customHeight="false" outlineLevel="0" collapsed="false">
      <c r="A217" s="17" t="n">
        <f aca="false">Cours_Bruts!A217</f>
        <v>45796</v>
      </c>
      <c r="B217" s="18" t="str">
        <f aca="false">Cours_Bruts!B217</f>
        <v>TTE</v>
      </c>
      <c r="C217" s="19" t="n">
        <f aca="false">Cours_Bruts!C217</f>
        <v>68.32</v>
      </c>
      <c r="D217" s="20" t="n">
        <f aca="false">IF(B217=B216,(C217-C216)/C216,"")</f>
        <v>0.00264162019371871</v>
      </c>
      <c r="E217" s="20" t="n">
        <f aca="false">IF(B217=B216,(1+E216)*(1+IF(D217="",0,D217))-1,0)</f>
        <v>0.138666666666668</v>
      </c>
      <c r="F217" s="21" t="n">
        <f aca="false">IF(B217=B216,MAX(F216,C217),C217)</f>
        <v>68.32</v>
      </c>
      <c r="G217" s="20" t="n">
        <f aca="false">(C217-F217)/F217</f>
        <v>0</v>
      </c>
      <c r="H217" s="21" t="n">
        <f aca="true">IF(COUNTIFS($B$2:B217,B217)&gt;=20,AVERAGE(OFFSET(C217,-19,0,20,1)),"")</f>
        <v>65.036</v>
      </c>
      <c r="I217" s="21" t="n">
        <f aca="true">IF(COUNTIFS($B$2:B217,B217)&gt;=50,AVERAGE(OFFSET(C217,-49,0,50,1)),"")</f>
        <v>63.736</v>
      </c>
    </row>
    <row r="218" customFormat="false" ht="15" hidden="false" customHeight="false" outlineLevel="0" collapsed="false">
      <c r="A218" s="17" t="n">
        <f aca="false">Cours_Bruts!A218</f>
        <v>45797</v>
      </c>
      <c r="B218" s="18" t="str">
        <f aca="false">Cours_Bruts!B218</f>
        <v>TTE</v>
      </c>
      <c r="C218" s="19" t="n">
        <f aca="false">Cours_Bruts!C218</f>
        <v>65.88</v>
      </c>
      <c r="D218" s="20" t="n">
        <f aca="false">IF(B218=B217,(C218-C217)/C217,"")</f>
        <v>-0.0357142857142857</v>
      </c>
      <c r="E218" s="20" t="n">
        <f aca="false">IF(B218=B217,(1+E217)*(1+IF(D218="",0,D218))-1,0)</f>
        <v>0.098000000000001</v>
      </c>
      <c r="F218" s="21" t="n">
        <f aca="false">IF(B218=B217,MAX(F217,C218),C218)</f>
        <v>68.32</v>
      </c>
      <c r="G218" s="20" t="n">
        <f aca="false">(C218-F218)/F218</f>
        <v>-0.0357142857142857</v>
      </c>
      <c r="H218" s="21" t="n">
        <f aca="true">IF(COUNTIFS($B$2:B218,B218)&gt;=20,AVERAGE(OFFSET(C218,-19,0,20,1)),"")</f>
        <v>65.092</v>
      </c>
      <c r="I218" s="21" t="n">
        <f aca="true">IF(COUNTIFS($B$2:B218,B218)&gt;=50,AVERAGE(OFFSET(C218,-49,0,50,1)),"")</f>
        <v>63.9234</v>
      </c>
    </row>
    <row r="219" customFormat="false" ht="15" hidden="false" customHeight="false" outlineLevel="0" collapsed="false">
      <c r="A219" s="17" t="n">
        <f aca="false">Cours_Bruts!A219</f>
        <v>45798</v>
      </c>
      <c r="B219" s="18" t="str">
        <f aca="false">Cours_Bruts!B219</f>
        <v>TTE</v>
      </c>
      <c r="C219" s="19" t="n">
        <f aca="false">Cours_Bruts!C219</f>
        <v>67.49</v>
      </c>
      <c r="D219" s="20" t="n">
        <f aca="false">IF(B219=B218,(C219-C218)/C218,"")</f>
        <v>0.0244383727990285</v>
      </c>
      <c r="E219" s="20" t="n">
        <f aca="false">IF(B219=B218,(1+E218)*(1+IF(D219="",0,D219))-1,0)</f>
        <v>0.124833333333334</v>
      </c>
      <c r="F219" s="21" t="n">
        <f aca="false">IF(B219=B218,MAX(F218,C219),C219)</f>
        <v>68.32</v>
      </c>
      <c r="G219" s="20" t="n">
        <f aca="false">(C219-F219)/F219</f>
        <v>-0.0121487119437939</v>
      </c>
      <c r="H219" s="21" t="n">
        <f aca="true">IF(COUNTIFS($B$2:B219,B219)&gt;=20,AVERAGE(OFFSET(C219,-19,0,20,1)),"")</f>
        <v>65.1135</v>
      </c>
      <c r="I219" s="21" t="n">
        <f aca="true">IF(COUNTIFS($B$2:B219,B219)&gt;=50,AVERAGE(OFFSET(C219,-49,0,50,1)),"")</f>
        <v>64.15</v>
      </c>
    </row>
    <row r="220" customFormat="false" ht="15" hidden="false" customHeight="false" outlineLevel="0" collapsed="false">
      <c r="A220" s="17" t="n">
        <f aca="false">Cours_Bruts!A220</f>
        <v>45799</v>
      </c>
      <c r="B220" s="18" t="str">
        <f aca="false">Cours_Bruts!B220</f>
        <v>TTE</v>
      </c>
      <c r="C220" s="19" t="n">
        <f aca="false">Cours_Bruts!C220</f>
        <v>66.72</v>
      </c>
      <c r="D220" s="20" t="n">
        <f aca="false">IF(B220=B219,(C220-C219)/C219,"")</f>
        <v>-0.0114090976440954</v>
      </c>
      <c r="E220" s="20" t="n">
        <f aca="false">IF(B220=B219,(1+E219)*(1+IF(D220="",0,D220))-1,0)</f>
        <v>0.112000000000001</v>
      </c>
      <c r="F220" s="21" t="n">
        <f aca="false">IF(B220=B219,MAX(F219,C220),C220)</f>
        <v>68.32</v>
      </c>
      <c r="G220" s="20" t="n">
        <f aca="false">(C220-F220)/F220</f>
        <v>-0.0234192037470725</v>
      </c>
      <c r="H220" s="21" t="n">
        <f aca="true">IF(COUNTIFS($B$2:B220,B220)&gt;=20,AVERAGE(OFFSET(C220,-19,0,20,1)),"")</f>
        <v>65.097</v>
      </c>
      <c r="I220" s="21" t="n">
        <f aca="true">IF(COUNTIFS($B$2:B220,B220)&gt;=50,AVERAGE(OFFSET(C220,-49,0,50,1)),"")</f>
        <v>64.3278</v>
      </c>
    </row>
    <row r="221" customFormat="false" ht="15" hidden="false" customHeight="false" outlineLevel="0" collapsed="false">
      <c r="A221" s="17" t="n">
        <f aca="false">Cours_Bruts!A221</f>
        <v>45800</v>
      </c>
      <c r="B221" s="18" t="str">
        <f aca="false">Cours_Bruts!B221</f>
        <v>TTE</v>
      </c>
      <c r="C221" s="19" t="n">
        <f aca="false">Cours_Bruts!C221</f>
        <v>69.4</v>
      </c>
      <c r="D221" s="20" t="n">
        <f aca="false">IF(B221=B220,(C221-C220)/C220,"")</f>
        <v>0.0401678657074342</v>
      </c>
      <c r="E221" s="20" t="n">
        <f aca="false">IF(B221=B220,(1+E220)*(1+IF(D221="",0,D221))-1,0)</f>
        <v>0.156666666666668</v>
      </c>
      <c r="F221" s="21" t="n">
        <f aca="false">IF(B221=B220,MAX(F220,C221),C221)</f>
        <v>69.4</v>
      </c>
      <c r="G221" s="20" t="n">
        <f aca="false">(C221-F221)/F221</f>
        <v>0</v>
      </c>
      <c r="H221" s="21" t="n">
        <f aca="true">IF(COUNTIFS($B$2:B221,B221)&gt;=20,AVERAGE(OFFSET(C221,-19,0,20,1)),"")</f>
        <v>65.273</v>
      </c>
      <c r="I221" s="21" t="n">
        <f aca="true">IF(COUNTIFS($B$2:B221,B221)&gt;=50,AVERAGE(OFFSET(C221,-49,0,50,1)),"")</f>
        <v>64.5562</v>
      </c>
    </row>
    <row r="222" customFormat="false" ht="15" hidden="false" customHeight="false" outlineLevel="0" collapsed="false">
      <c r="A222" s="17" t="n">
        <f aca="false">Cours_Bruts!A222</f>
        <v>45803</v>
      </c>
      <c r="B222" s="18" t="str">
        <f aca="false">Cours_Bruts!B222</f>
        <v>TTE</v>
      </c>
      <c r="C222" s="19" t="n">
        <f aca="false">Cours_Bruts!C222</f>
        <v>70.31</v>
      </c>
      <c r="D222" s="20" t="n">
        <f aca="false">IF(B222=B221,(C222-C221)/C221,"")</f>
        <v>0.0131123919308357</v>
      </c>
      <c r="E222" s="20" t="n">
        <f aca="false">IF(B222=B221,(1+E221)*(1+IF(D222="",0,D222))-1,0)</f>
        <v>0.171833333333334</v>
      </c>
      <c r="F222" s="21" t="n">
        <f aca="false">IF(B222=B221,MAX(F221,C222),C222)</f>
        <v>70.31</v>
      </c>
      <c r="G222" s="20" t="n">
        <f aca="false">(C222-F222)/F222</f>
        <v>0</v>
      </c>
      <c r="H222" s="21" t="n">
        <f aca="true">IF(COUNTIFS($B$2:B222,B222)&gt;=20,AVERAGE(OFFSET(C222,-19,0,20,1)),"")</f>
        <v>65.5745</v>
      </c>
      <c r="I222" s="21" t="n">
        <f aca="true">IF(COUNTIFS($B$2:B222,B222)&gt;=50,AVERAGE(OFFSET(C222,-49,0,50,1)),"")</f>
        <v>64.7906</v>
      </c>
    </row>
    <row r="223" customFormat="false" ht="15" hidden="false" customHeight="false" outlineLevel="0" collapsed="false">
      <c r="A223" s="17" t="n">
        <f aca="false">Cours_Bruts!A223</f>
        <v>45804</v>
      </c>
      <c r="B223" s="18" t="str">
        <f aca="false">Cours_Bruts!B223</f>
        <v>TTE</v>
      </c>
      <c r="C223" s="19" t="n">
        <f aca="false">Cours_Bruts!C223</f>
        <v>70.42</v>
      </c>
      <c r="D223" s="20" t="n">
        <f aca="false">IF(B223=B222,(C223-C222)/C222,"")</f>
        <v>0.00156450007111363</v>
      </c>
      <c r="E223" s="20" t="n">
        <f aca="false">IF(B223=B222,(1+E222)*(1+IF(D223="",0,D223))-1,0)</f>
        <v>0.173666666666668</v>
      </c>
      <c r="F223" s="21" t="n">
        <f aca="false">IF(B223=B222,MAX(F222,C223),C223)</f>
        <v>70.42</v>
      </c>
      <c r="G223" s="20" t="n">
        <f aca="false">(C223-F223)/F223</f>
        <v>0</v>
      </c>
      <c r="H223" s="21" t="n">
        <f aca="true">IF(COUNTIFS($B$2:B223,B223)&gt;=20,AVERAGE(OFFSET(C223,-19,0,20,1)),"")</f>
        <v>65.887</v>
      </c>
      <c r="I223" s="21" t="n">
        <f aca="true">IF(COUNTIFS($B$2:B223,B223)&gt;=50,AVERAGE(OFFSET(C223,-49,0,50,1)),"")</f>
        <v>65.055</v>
      </c>
    </row>
    <row r="224" customFormat="false" ht="15" hidden="false" customHeight="false" outlineLevel="0" collapsed="false">
      <c r="A224" s="17" t="n">
        <f aca="false">Cours_Bruts!A224</f>
        <v>45805</v>
      </c>
      <c r="B224" s="18" t="str">
        <f aca="false">Cours_Bruts!B224</f>
        <v>TTE</v>
      </c>
      <c r="C224" s="19" t="n">
        <f aca="false">Cours_Bruts!C224</f>
        <v>71.02</v>
      </c>
      <c r="D224" s="20" t="n">
        <f aca="false">IF(B224=B223,(C224-C223)/C223,"")</f>
        <v>0.00852030673104224</v>
      </c>
      <c r="E224" s="20" t="n">
        <f aca="false">IF(B224=B223,(1+E223)*(1+IF(D224="",0,D224))-1,0)</f>
        <v>0.183666666666667</v>
      </c>
      <c r="F224" s="21" t="n">
        <f aca="false">IF(B224=B223,MAX(F223,C224),C224)</f>
        <v>71.02</v>
      </c>
      <c r="G224" s="20" t="n">
        <f aca="false">(C224-F224)/F224</f>
        <v>0</v>
      </c>
      <c r="H224" s="21" t="n">
        <f aca="true">IF(COUNTIFS($B$2:B224,B224)&gt;=20,AVERAGE(OFFSET(C224,-19,0,20,1)),"")</f>
        <v>66.35</v>
      </c>
      <c r="I224" s="21" t="n">
        <f aca="true">IF(COUNTIFS($B$2:B224,B224)&gt;=50,AVERAGE(OFFSET(C224,-49,0,50,1)),"")</f>
        <v>65.2796</v>
      </c>
    </row>
    <row r="225" customFormat="false" ht="15" hidden="false" customHeight="false" outlineLevel="0" collapsed="false">
      <c r="A225" s="17" t="n">
        <f aca="false">Cours_Bruts!A225</f>
        <v>45806</v>
      </c>
      <c r="B225" s="18" t="str">
        <f aca="false">Cours_Bruts!B225</f>
        <v>TTE</v>
      </c>
      <c r="C225" s="19" t="n">
        <f aca="false">Cours_Bruts!C225</f>
        <v>70.89</v>
      </c>
      <c r="D225" s="20" t="n">
        <f aca="false">IF(B225=B224,(C225-C224)/C224,"")</f>
        <v>-0.00183047029005907</v>
      </c>
      <c r="E225" s="20" t="n">
        <f aca="false">IF(B225=B224,(1+E224)*(1+IF(D225="",0,D225))-1,0)</f>
        <v>0.181500000000001</v>
      </c>
      <c r="F225" s="21" t="n">
        <f aca="false">IF(B225=B224,MAX(F224,C225),C225)</f>
        <v>71.02</v>
      </c>
      <c r="G225" s="20" t="n">
        <f aca="false">(C225-F225)/F225</f>
        <v>-0.00183047029005907</v>
      </c>
      <c r="H225" s="21" t="n">
        <f aca="true">IF(COUNTIFS($B$2:B225,B225)&gt;=20,AVERAGE(OFFSET(C225,-19,0,20,1)),"")</f>
        <v>66.8815</v>
      </c>
      <c r="I225" s="21" t="n">
        <f aca="true">IF(COUNTIFS($B$2:B225,B225)&gt;=50,AVERAGE(OFFSET(C225,-49,0,50,1)),"")</f>
        <v>65.4596</v>
      </c>
    </row>
    <row r="226" customFormat="false" ht="15" hidden="false" customHeight="false" outlineLevel="0" collapsed="false">
      <c r="A226" s="17" t="n">
        <f aca="false">Cours_Bruts!A226</f>
        <v>45807</v>
      </c>
      <c r="B226" s="18" t="str">
        <f aca="false">Cours_Bruts!B226</f>
        <v>TTE</v>
      </c>
      <c r="C226" s="19" t="n">
        <f aca="false">Cours_Bruts!C226</f>
        <v>70.25</v>
      </c>
      <c r="D226" s="20" t="n">
        <f aca="false">IF(B226=B225,(C226-C225)/C225,"")</f>
        <v>-0.00902807166031881</v>
      </c>
      <c r="E226" s="20" t="n">
        <f aca="false">IF(B226=B225,(1+E225)*(1+IF(D226="",0,D226))-1,0)</f>
        <v>0.170833333333334</v>
      </c>
      <c r="F226" s="21" t="n">
        <f aca="false">IF(B226=B225,MAX(F225,C226),C226)</f>
        <v>71.02</v>
      </c>
      <c r="G226" s="20" t="n">
        <f aca="false">(C226-F226)/F226</f>
        <v>-0.0108420163334271</v>
      </c>
      <c r="H226" s="21" t="n">
        <f aca="true">IF(COUNTIFS($B$2:B226,B226)&gt;=20,AVERAGE(OFFSET(C226,-19,0,20,1)),"")</f>
        <v>67.2925</v>
      </c>
      <c r="I226" s="21" t="n">
        <f aca="true">IF(COUNTIFS($B$2:B226,B226)&gt;=50,AVERAGE(OFFSET(C226,-49,0,50,1)),"")</f>
        <v>65.5948</v>
      </c>
    </row>
    <row r="227" customFormat="false" ht="15" hidden="false" customHeight="false" outlineLevel="0" collapsed="false">
      <c r="A227" s="17" t="n">
        <f aca="false">Cours_Bruts!A227</f>
        <v>45810</v>
      </c>
      <c r="B227" s="18" t="str">
        <f aca="false">Cours_Bruts!B227</f>
        <v>TTE</v>
      </c>
      <c r="C227" s="19" t="n">
        <f aca="false">Cours_Bruts!C227</f>
        <v>70.54</v>
      </c>
      <c r="D227" s="20" t="n">
        <f aca="false">IF(B227=B226,(C227-C226)/C226,"")</f>
        <v>0.00412811387900365</v>
      </c>
      <c r="E227" s="20" t="n">
        <f aca="false">IF(B227=B226,(1+E226)*(1+IF(D227="",0,D227))-1,0)</f>
        <v>0.175666666666668</v>
      </c>
      <c r="F227" s="21" t="n">
        <f aca="false">IF(B227=B226,MAX(F226,C227),C227)</f>
        <v>71.02</v>
      </c>
      <c r="G227" s="20" t="n">
        <f aca="false">(C227-F227)/F227</f>
        <v>-0.00675865953252591</v>
      </c>
      <c r="H227" s="21" t="n">
        <f aca="true">IF(COUNTIFS($B$2:B227,B227)&gt;=20,AVERAGE(OFFSET(C227,-19,0,20,1)),"")</f>
        <v>67.64</v>
      </c>
      <c r="I227" s="21" t="n">
        <f aca="true">IF(COUNTIFS($B$2:B227,B227)&gt;=50,AVERAGE(OFFSET(C227,-49,0,50,1)),"")</f>
        <v>65.7156</v>
      </c>
    </row>
    <row r="228" customFormat="false" ht="15" hidden="false" customHeight="false" outlineLevel="0" collapsed="false">
      <c r="A228" s="17" t="n">
        <f aca="false">Cours_Bruts!A228</f>
        <v>45811</v>
      </c>
      <c r="B228" s="18" t="str">
        <f aca="false">Cours_Bruts!B228</f>
        <v>TTE</v>
      </c>
      <c r="C228" s="19" t="n">
        <f aca="false">Cours_Bruts!C228</f>
        <v>71.73</v>
      </c>
      <c r="D228" s="20" t="n">
        <f aca="false">IF(B228=B227,(C228-C227)/C227,"")</f>
        <v>0.0168698610717323</v>
      </c>
      <c r="E228" s="20" t="n">
        <f aca="false">IF(B228=B227,(1+E227)*(1+IF(D228="",0,D228))-1,0)</f>
        <v>0.195500000000001</v>
      </c>
      <c r="F228" s="21" t="n">
        <f aca="false">IF(B228=B227,MAX(F227,C228),C228)</f>
        <v>71.73</v>
      </c>
      <c r="G228" s="20" t="n">
        <f aca="false">(C228-F228)/F228</f>
        <v>0</v>
      </c>
      <c r="H228" s="21" t="n">
        <f aca="true">IF(COUNTIFS($B$2:B228,B228)&gt;=20,AVERAGE(OFFSET(C228,-19,0,20,1)),"")</f>
        <v>68.054</v>
      </c>
      <c r="I228" s="21" t="n">
        <f aca="true">IF(COUNTIFS($B$2:B228,B228)&gt;=50,AVERAGE(OFFSET(C228,-49,0,50,1)),"")</f>
        <v>65.8596</v>
      </c>
    </row>
    <row r="229" customFormat="false" ht="15" hidden="false" customHeight="false" outlineLevel="0" collapsed="false">
      <c r="A229" s="17" t="n">
        <f aca="false">Cours_Bruts!A229</f>
        <v>45812</v>
      </c>
      <c r="B229" s="18" t="str">
        <f aca="false">Cours_Bruts!B229</f>
        <v>TTE</v>
      </c>
      <c r="C229" s="19" t="n">
        <f aca="false">Cours_Bruts!C229</f>
        <v>71.12</v>
      </c>
      <c r="D229" s="20" t="n">
        <f aca="false">IF(B229=B228,(C229-C228)/C228,"")</f>
        <v>-0.00850411264463961</v>
      </c>
      <c r="E229" s="20" t="n">
        <f aca="false">IF(B229=B228,(1+E228)*(1+IF(D229="",0,D229))-1,0)</f>
        <v>0.185333333333334</v>
      </c>
      <c r="F229" s="21" t="n">
        <f aca="false">IF(B229=B228,MAX(F228,C229),C229)</f>
        <v>71.73</v>
      </c>
      <c r="G229" s="20" t="n">
        <f aca="false">(C229-F229)/F229</f>
        <v>-0.00850411264463961</v>
      </c>
      <c r="H229" s="21" t="n">
        <f aca="true">IF(COUNTIFS($B$2:B229,B229)&gt;=20,AVERAGE(OFFSET(C229,-19,0,20,1)),"")</f>
        <v>68.465</v>
      </c>
      <c r="I229" s="21" t="n">
        <f aca="true">IF(COUNTIFS($B$2:B229,B229)&gt;=50,AVERAGE(OFFSET(C229,-49,0,50,1)),"")</f>
        <v>65.9804</v>
      </c>
    </row>
    <row r="230" customFormat="false" ht="15" hidden="false" customHeight="false" outlineLevel="0" collapsed="false">
      <c r="A230" s="17" t="n">
        <f aca="false">Cours_Bruts!A230</f>
        <v>45813</v>
      </c>
      <c r="B230" s="18" t="str">
        <f aca="false">Cours_Bruts!B230</f>
        <v>TTE</v>
      </c>
      <c r="C230" s="19" t="n">
        <f aca="false">Cours_Bruts!C230</f>
        <v>70.29</v>
      </c>
      <c r="D230" s="20" t="n">
        <f aca="false">IF(B230=B229,(C230-C229)/C229,"")</f>
        <v>-0.0116704161979752</v>
      </c>
      <c r="E230" s="20" t="n">
        <f aca="false">IF(B230=B229,(1+E229)*(1+IF(D230="",0,D230))-1,0)</f>
        <v>0.171500000000001</v>
      </c>
      <c r="F230" s="21" t="n">
        <f aca="false">IF(B230=B229,MAX(F229,C230),C230)</f>
        <v>71.73</v>
      </c>
      <c r="G230" s="20" t="n">
        <f aca="false">(C230-F230)/F230</f>
        <v>-0.0200752823086574</v>
      </c>
      <c r="H230" s="21" t="n">
        <f aca="true">IF(COUNTIFS($B$2:B230,B230)&gt;=20,AVERAGE(OFFSET(C230,-19,0,20,1)),"")</f>
        <v>68.8305</v>
      </c>
      <c r="I230" s="21" t="n">
        <f aca="true">IF(COUNTIFS($B$2:B230,B230)&gt;=50,AVERAGE(OFFSET(C230,-49,0,50,1)),"")</f>
        <v>66.0584</v>
      </c>
    </row>
    <row r="231" customFormat="false" ht="15" hidden="false" customHeight="false" outlineLevel="0" collapsed="false">
      <c r="A231" s="17" t="n">
        <f aca="false">Cours_Bruts!A231</f>
        <v>45814</v>
      </c>
      <c r="B231" s="18" t="str">
        <f aca="false">Cours_Bruts!B231</f>
        <v>TTE</v>
      </c>
      <c r="C231" s="19" t="n">
        <f aca="false">Cours_Bruts!C231</f>
        <v>69.84</v>
      </c>
      <c r="D231" s="20" t="n">
        <f aca="false">IF(B231=B230,(C231-C230)/C230,"")</f>
        <v>-0.00640204865556982</v>
      </c>
      <c r="E231" s="20" t="n">
        <f aca="false">IF(B231=B230,(1+E230)*(1+IF(D231="",0,D231))-1,0)</f>
        <v>0.164000000000001</v>
      </c>
      <c r="F231" s="21" t="n">
        <f aca="false">IF(B231=B230,MAX(F230,C231),C231)</f>
        <v>71.73</v>
      </c>
      <c r="G231" s="20" t="n">
        <f aca="false">(C231-F231)/F231</f>
        <v>-0.0263488080301129</v>
      </c>
      <c r="H231" s="21" t="n">
        <f aca="true">IF(COUNTIFS($B$2:B231,B231)&gt;=20,AVERAGE(OFFSET(C231,-19,0,20,1)),"")</f>
        <v>69.033</v>
      </c>
      <c r="I231" s="21" t="n">
        <f aca="true">IF(COUNTIFS($B$2:B231,B231)&gt;=50,AVERAGE(OFFSET(C231,-49,0,50,1)),"")</f>
        <v>66.143</v>
      </c>
    </row>
    <row r="232" customFormat="false" ht="15" hidden="false" customHeight="false" outlineLevel="0" collapsed="false">
      <c r="A232" s="17" t="n">
        <f aca="false">Cours_Bruts!A232</f>
        <v>45817</v>
      </c>
      <c r="B232" s="18" t="str">
        <f aca="false">Cours_Bruts!B232</f>
        <v>TTE</v>
      </c>
      <c r="C232" s="19" t="n">
        <f aca="false">Cours_Bruts!C232</f>
        <v>71.11</v>
      </c>
      <c r="D232" s="20" t="n">
        <f aca="false">IF(B232=B231,(C232-C231)/C231,"")</f>
        <v>0.0181844215349369</v>
      </c>
      <c r="E232" s="20" t="n">
        <f aca="false">IF(B232=B231,(1+E231)*(1+IF(D232="",0,D232))-1,0)</f>
        <v>0.185166666666667</v>
      </c>
      <c r="F232" s="21" t="n">
        <f aca="false">IF(B232=B231,MAX(F231,C232),C232)</f>
        <v>71.73</v>
      </c>
      <c r="G232" s="20" t="n">
        <f aca="false">(C232-F232)/F232</f>
        <v>-0.00864352432733869</v>
      </c>
      <c r="H232" s="21" t="n">
        <f aca="true">IF(COUNTIFS($B$2:B232,B232)&gt;=20,AVERAGE(OFFSET(C232,-19,0,20,1)),"")</f>
        <v>69.273</v>
      </c>
      <c r="I232" s="21" t="n">
        <f aca="true">IF(COUNTIFS($B$2:B232,B232)&gt;=50,AVERAGE(OFFSET(C232,-49,0,50,1)),"")</f>
        <v>66.2638</v>
      </c>
    </row>
    <row r="233" customFormat="false" ht="15" hidden="false" customHeight="false" outlineLevel="0" collapsed="false">
      <c r="A233" s="17" t="n">
        <f aca="false">Cours_Bruts!A233</f>
        <v>45818</v>
      </c>
      <c r="B233" s="18" t="str">
        <f aca="false">Cours_Bruts!B233</f>
        <v>TTE</v>
      </c>
      <c r="C233" s="19" t="n">
        <f aca="false">Cours_Bruts!C233</f>
        <v>73.07</v>
      </c>
      <c r="D233" s="20" t="n">
        <f aca="false">IF(B233=B232,(C233-C232)/C232,"")</f>
        <v>0.0275629306707916</v>
      </c>
      <c r="E233" s="20" t="n">
        <f aca="false">IF(B233=B232,(1+E232)*(1+IF(D233="",0,D233))-1,0)</f>
        <v>0.217833333333334</v>
      </c>
      <c r="F233" s="21" t="n">
        <f aca="false">IF(B233=B232,MAX(F232,C233),C233)</f>
        <v>73.07</v>
      </c>
      <c r="G233" s="20" t="n">
        <f aca="false">(C233-F233)/F233</f>
        <v>0</v>
      </c>
      <c r="H233" s="21" t="n">
        <f aca="true">IF(COUNTIFS($B$2:B233,B233)&gt;=20,AVERAGE(OFFSET(C233,-19,0,20,1)),"")</f>
        <v>69.5535</v>
      </c>
      <c r="I233" s="21" t="n">
        <f aca="true">IF(COUNTIFS($B$2:B233,B233)&gt;=50,AVERAGE(OFFSET(C233,-49,0,50,1)),"")</f>
        <v>66.4646</v>
      </c>
    </row>
    <row r="234" customFormat="false" ht="15" hidden="false" customHeight="false" outlineLevel="0" collapsed="false">
      <c r="A234" s="17" t="n">
        <f aca="false">Cours_Bruts!A234</f>
        <v>45819</v>
      </c>
      <c r="B234" s="18" t="str">
        <f aca="false">Cours_Bruts!B234</f>
        <v>TTE</v>
      </c>
      <c r="C234" s="19" t="n">
        <f aca="false">Cours_Bruts!C234</f>
        <v>73.59</v>
      </c>
      <c r="D234" s="20" t="n">
        <f aca="false">IF(B234=B233,(C234-C233)/C233,"")</f>
        <v>0.00711646366497893</v>
      </c>
      <c r="E234" s="20" t="n">
        <f aca="false">IF(B234=B233,(1+E233)*(1+IF(D234="",0,D234))-1,0)</f>
        <v>0.226500000000001</v>
      </c>
      <c r="F234" s="21" t="n">
        <f aca="false">IF(B234=B233,MAX(F233,C234),C234)</f>
        <v>73.59</v>
      </c>
      <c r="G234" s="20" t="n">
        <f aca="false">(C234-F234)/F234</f>
        <v>0</v>
      </c>
      <c r="H234" s="21" t="n">
        <f aca="true">IF(COUNTIFS($B$2:B234,B234)&gt;=20,AVERAGE(OFFSET(C234,-19,0,20,1)),"")</f>
        <v>69.872</v>
      </c>
      <c r="I234" s="21" t="n">
        <f aca="true">IF(COUNTIFS($B$2:B234,B234)&gt;=50,AVERAGE(OFFSET(C234,-49,0,50,1)),"")</f>
        <v>66.6938</v>
      </c>
    </row>
    <row r="235" customFormat="false" ht="15" hidden="false" customHeight="false" outlineLevel="0" collapsed="false">
      <c r="A235" s="17" t="n">
        <f aca="false">Cours_Bruts!A235</f>
        <v>45820</v>
      </c>
      <c r="B235" s="18" t="str">
        <f aca="false">Cours_Bruts!B235</f>
        <v>TTE</v>
      </c>
      <c r="C235" s="19" t="n">
        <f aca="false">Cours_Bruts!C235</f>
        <v>74.41</v>
      </c>
      <c r="D235" s="20" t="n">
        <f aca="false">IF(B235=B234,(C235-C234)/C234,"")</f>
        <v>0.0111428183177061</v>
      </c>
      <c r="E235" s="20" t="n">
        <f aca="false">IF(B235=B234,(1+E234)*(1+IF(D235="",0,D235))-1,0)</f>
        <v>0.240166666666667</v>
      </c>
      <c r="F235" s="21" t="n">
        <f aca="false">IF(B235=B234,MAX(F234,C235),C235)</f>
        <v>74.41</v>
      </c>
      <c r="G235" s="20" t="n">
        <f aca="false">(C235-F235)/F235</f>
        <v>0</v>
      </c>
      <c r="H235" s="21" t="n">
        <f aca="true">IF(COUNTIFS($B$2:B235,B235)&gt;=20,AVERAGE(OFFSET(C235,-19,0,20,1)),"")</f>
        <v>70.227</v>
      </c>
      <c r="I235" s="21" t="n">
        <f aca="true">IF(COUNTIFS($B$2:B235,B235)&gt;=50,AVERAGE(OFFSET(C235,-49,0,50,1)),"")</f>
        <v>66.9002</v>
      </c>
    </row>
    <row r="236" customFormat="false" ht="15" hidden="false" customHeight="false" outlineLevel="0" collapsed="false">
      <c r="A236" s="17" t="n">
        <f aca="false">Cours_Bruts!A236</f>
        <v>45821</v>
      </c>
      <c r="B236" s="18" t="str">
        <f aca="false">Cours_Bruts!B236</f>
        <v>TTE</v>
      </c>
      <c r="C236" s="19" t="n">
        <f aca="false">Cours_Bruts!C236</f>
        <v>73.54</v>
      </c>
      <c r="D236" s="20" t="n">
        <f aca="false">IF(B236=B235,(C236-C235)/C235,"")</f>
        <v>-0.0116919768848272</v>
      </c>
      <c r="E236" s="20" t="n">
        <f aca="false">IF(B236=B235,(1+E235)*(1+IF(D236="",0,D236))-1,0)</f>
        <v>0.225666666666668</v>
      </c>
      <c r="F236" s="21" t="n">
        <f aca="false">IF(B236=B235,MAX(F235,C236),C236)</f>
        <v>74.41</v>
      </c>
      <c r="G236" s="20" t="n">
        <f aca="false">(C236-F236)/F236</f>
        <v>-0.0116919768848272</v>
      </c>
      <c r="H236" s="21" t="n">
        <f aca="true">IF(COUNTIFS($B$2:B236,B236)&gt;=20,AVERAGE(OFFSET(C236,-19,0,20,1)),"")</f>
        <v>70.497</v>
      </c>
      <c r="I236" s="21" t="n">
        <f aca="true">IF(COUNTIFS($B$2:B236,B236)&gt;=50,AVERAGE(OFFSET(C236,-49,0,50,1)),"")</f>
        <v>67.097</v>
      </c>
    </row>
    <row r="237" customFormat="false" ht="15" hidden="false" customHeight="false" outlineLevel="0" collapsed="false">
      <c r="A237" s="17" t="n">
        <f aca="false">Cours_Bruts!A237</f>
        <v>45824</v>
      </c>
      <c r="B237" s="18" t="str">
        <f aca="false">Cours_Bruts!B237</f>
        <v>TTE</v>
      </c>
      <c r="C237" s="19" t="n">
        <f aca="false">Cours_Bruts!C237</f>
        <v>74.77</v>
      </c>
      <c r="D237" s="20" t="n">
        <f aca="false">IF(B237=B236,(C237-C236)/C236,"")</f>
        <v>0.0167255915148217</v>
      </c>
      <c r="E237" s="20" t="n">
        <f aca="false">IF(B237=B236,(1+E236)*(1+IF(D237="",0,D237))-1,0)</f>
        <v>0.246166666666667</v>
      </c>
      <c r="F237" s="21" t="n">
        <f aca="false">IF(B237=B236,MAX(F236,C237),C237)</f>
        <v>74.77</v>
      </c>
      <c r="G237" s="20" t="n">
        <f aca="false">(C237-F237)/F237</f>
        <v>0</v>
      </c>
      <c r="H237" s="21" t="n">
        <f aca="true">IF(COUNTIFS($B$2:B237,B237)&gt;=20,AVERAGE(OFFSET(C237,-19,0,20,1)),"")</f>
        <v>70.8195</v>
      </c>
      <c r="I237" s="21" t="n">
        <f aca="true">IF(COUNTIFS($B$2:B237,B237)&gt;=50,AVERAGE(OFFSET(C237,-49,0,50,1)),"")</f>
        <v>67.3258</v>
      </c>
    </row>
    <row r="238" customFormat="false" ht="15" hidden="false" customHeight="false" outlineLevel="0" collapsed="false">
      <c r="A238" s="17" t="n">
        <f aca="false">Cours_Bruts!A238</f>
        <v>45825</v>
      </c>
      <c r="B238" s="18" t="str">
        <f aca="false">Cours_Bruts!B238</f>
        <v>TTE</v>
      </c>
      <c r="C238" s="19" t="n">
        <f aca="false">Cours_Bruts!C238</f>
        <v>75.57</v>
      </c>
      <c r="D238" s="20" t="n">
        <f aca="false">IF(B238=B237,(C238-C237)/C237,"")</f>
        <v>0.0106994784004279</v>
      </c>
      <c r="E238" s="20" t="n">
        <f aca="false">IF(B238=B237,(1+E237)*(1+IF(D238="",0,D238))-1,0)</f>
        <v>0.259500000000001</v>
      </c>
      <c r="F238" s="21" t="n">
        <f aca="false">IF(B238=B237,MAX(F237,C238),C238)</f>
        <v>75.57</v>
      </c>
      <c r="G238" s="20" t="n">
        <f aca="false">(C238-F238)/F238</f>
        <v>0</v>
      </c>
      <c r="H238" s="21" t="n">
        <f aca="true">IF(COUNTIFS($B$2:B238,B238)&gt;=20,AVERAGE(OFFSET(C238,-19,0,20,1)),"")</f>
        <v>71.304</v>
      </c>
      <c r="I238" s="21" t="n">
        <f aca="true">IF(COUNTIFS($B$2:B238,B238)&gt;=50,AVERAGE(OFFSET(C238,-49,0,50,1)),"")</f>
        <v>67.5628</v>
      </c>
    </row>
    <row r="239" customFormat="false" ht="15" hidden="false" customHeight="false" outlineLevel="0" collapsed="false">
      <c r="A239" s="17" t="n">
        <f aca="false">Cours_Bruts!A239</f>
        <v>45826</v>
      </c>
      <c r="B239" s="18" t="str">
        <f aca="false">Cours_Bruts!B239</f>
        <v>TTE</v>
      </c>
      <c r="C239" s="19" t="n">
        <f aca="false">Cours_Bruts!C239</f>
        <v>74.57</v>
      </c>
      <c r="D239" s="20" t="n">
        <f aca="false">IF(B239=B238,(C239-C238)/C238,"")</f>
        <v>-0.0132327643244674</v>
      </c>
      <c r="E239" s="20" t="n">
        <f aca="false">IF(B239=B238,(1+E238)*(1+IF(D239="",0,D239))-1,0)</f>
        <v>0.242833333333334</v>
      </c>
      <c r="F239" s="21" t="n">
        <f aca="false">IF(B239=B238,MAX(F238,C239),C239)</f>
        <v>75.57</v>
      </c>
      <c r="G239" s="20" t="n">
        <f aca="false">(C239-F239)/F239</f>
        <v>-0.0132327643244674</v>
      </c>
      <c r="H239" s="21" t="n">
        <f aca="true">IF(COUNTIFS($B$2:B239,B239)&gt;=20,AVERAGE(OFFSET(C239,-19,0,20,1)),"")</f>
        <v>71.658</v>
      </c>
      <c r="I239" s="21" t="n">
        <f aca="true">IF(COUNTIFS($B$2:B239,B239)&gt;=50,AVERAGE(OFFSET(C239,-49,0,50,1)),"")</f>
        <v>67.8184</v>
      </c>
    </row>
    <row r="240" customFormat="false" ht="15" hidden="false" customHeight="false" outlineLevel="0" collapsed="false">
      <c r="A240" s="17" t="n">
        <f aca="false">Cours_Bruts!A240</f>
        <v>45827</v>
      </c>
      <c r="B240" s="18" t="str">
        <f aca="false">Cours_Bruts!B240</f>
        <v>TTE</v>
      </c>
      <c r="C240" s="19" t="n">
        <f aca="false">Cours_Bruts!C240</f>
        <v>72.06</v>
      </c>
      <c r="D240" s="20" t="n">
        <f aca="false">IF(B240=B239,(C240-C239)/C239,"")</f>
        <v>-0.0336596486522729</v>
      </c>
      <c r="E240" s="20" t="n">
        <f aca="false">IF(B240=B239,(1+E239)*(1+IF(D240="",0,D240))-1,0)</f>
        <v>0.201000000000001</v>
      </c>
      <c r="F240" s="21" t="n">
        <f aca="false">IF(B240=B239,MAX(F239,C240),C240)</f>
        <v>75.57</v>
      </c>
      <c r="G240" s="20" t="n">
        <f aca="false">(C240-F240)/F240</f>
        <v>-0.0464470027788804</v>
      </c>
      <c r="H240" s="21" t="n">
        <f aca="true">IF(COUNTIFS($B$2:B240,B240)&gt;=20,AVERAGE(OFFSET(C240,-19,0,20,1)),"")</f>
        <v>71.925</v>
      </c>
      <c r="I240" s="21" t="n">
        <f aca="true">IF(COUNTIFS($B$2:B240,B240)&gt;=50,AVERAGE(OFFSET(C240,-49,0,50,1)),"")</f>
        <v>68.0014</v>
      </c>
    </row>
    <row r="241" customFormat="false" ht="15" hidden="false" customHeight="false" outlineLevel="0" collapsed="false">
      <c r="A241" s="17" t="n">
        <f aca="false">Cours_Bruts!A241</f>
        <v>45828</v>
      </c>
      <c r="B241" s="18" t="str">
        <f aca="false">Cours_Bruts!B241</f>
        <v>TTE</v>
      </c>
      <c r="C241" s="19" t="n">
        <f aca="false">Cours_Bruts!C241</f>
        <v>70.41</v>
      </c>
      <c r="D241" s="20" t="n">
        <f aca="false">IF(B241=B240,(C241-C240)/C240,"")</f>
        <v>-0.0228975853455455</v>
      </c>
      <c r="E241" s="20" t="n">
        <f aca="false">IF(B241=B240,(1+E240)*(1+IF(D241="",0,D241))-1,0)</f>
        <v>0.173500000000001</v>
      </c>
      <c r="F241" s="21" t="n">
        <f aca="false">IF(B241=B240,MAX(F240,C241),C241)</f>
        <v>75.57</v>
      </c>
      <c r="G241" s="20" t="n">
        <f aca="false">(C241-F241)/F241</f>
        <v>-0.0682810639142517</v>
      </c>
      <c r="H241" s="21" t="n">
        <f aca="true">IF(COUNTIFS($B$2:B241,B241)&gt;=20,AVERAGE(OFFSET(C241,-19,0,20,1)),"")</f>
        <v>71.9755</v>
      </c>
      <c r="I241" s="21" t="n">
        <f aca="true">IF(COUNTIFS($B$2:B241,B241)&gt;=50,AVERAGE(OFFSET(C241,-49,0,50,1)),"")</f>
        <v>68.1212</v>
      </c>
    </row>
    <row r="242" customFormat="false" ht="15" hidden="false" customHeight="false" outlineLevel="0" collapsed="false">
      <c r="A242" s="17" t="n">
        <f aca="false">Cours_Bruts!A242</f>
        <v>45719</v>
      </c>
      <c r="B242" s="18" t="str">
        <f aca="false">Cours_Bruts!B242</f>
        <v>XOM</v>
      </c>
      <c r="C242" s="19" t="n">
        <f aca="false">Cours_Bruts!C242</f>
        <v>105</v>
      </c>
      <c r="D242" s="20" t="str">
        <f aca="false">IF(B242=B241,(C242-C241)/C241,"")</f>
        <v/>
      </c>
      <c r="E242" s="20" t="n">
        <f aca="false">IF(B242=B241,(1+E241)*(1+IF(D242="",0,D242))-1,0)</f>
        <v>0</v>
      </c>
      <c r="F242" s="21" t="n">
        <f aca="false">IF(B242=B241,MAX(F241,C242),C242)</f>
        <v>105</v>
      </c>
      <c r="G242" s="20" t="n">
        <f aca="false">(C242-F242)/F242</f>
        <v>0</v>
      </c>
      <c r="H242" s="21" t="str">
        <f aca="true">IF(COUNTIFS($B$2:B242,B242)&gt;=20,AVERAGE(OFFSET(C242,-19,0,20,1)),"")</f>
        <v/>
      </c>
      <c r="I242" s="21" t="str">
        <f aca="true">IF(COUNTIFS($B$2:B242,B242)&gt;=50,AVERAGE(OFFSET(C242,-49,0,50,1)),"")</f>
        <v/>
      </c>
    </row>
    <row r="243" customFormat="false" ht="15" hidden="false" customHeight="false" outlineLevel="0" collapsed="false">
      <c r="A243" s="17" t="n">
        <f aca="false">Cours_Bruts!A243</f>
        <v>45720</v>
      </c>
      <c r="B243" s="18" t="str">
        <f aca="false">Cours_Bruts!B243</f>
        <v>XOM</v>
      </c>
      <c r="C243" s="19" t="n">
        <f aca="false">Cours_Bruts!C243</f>
        <v>105.17</v>
      </c>
      <c r="D243" s="20" t="n">
        <f aca="false">IF(B243=B242,(C243-C242)/C242,"")</f>
        <v>0.00161904761904764</v>
      </c>
      <c r="E243" s="20" t="n">
        <f aca="false">IF(B243=B242,(1+E242)*(1+IF(D243="",0,D243))-1,0)</f>
        <v>0.00161904761904763</v>
      </c>
      <c r="F243" s="21" t="n">
        <f aca="false">IF(B243=B242,MAX(F242,C243),C243)</f>
        <v>105.17</v>
      </c>
      <c r="G243" s="20" t="n">
        <f aca="false">(C243-F243)/F243</f>
        <v>0</v>
      </c>
      <c r="H243" s="21" t="str">
        <f aca="true">IF(COUNTIFS($B$2:B243,B243)&gt;=20,AVERAGE(OFFSET(C243,-19,0,20,1)),"")</f>
        <v/>
      </c>
      <c r="I243" s="21" t="str">
        <f aca="true">IF(COUNTIFS($B$2:B243,B243)&gt;=50,AVERAGE(OFFSET(C243,-49,0,50,1)),"")</f>
        <v/>
      </c>
    </row>
    <row r="244" customFormat="false" ht="15" hidden="false" customHeight="false" outlineLevel="0" collapsed="false">
      <c r="A244" s="17" t="n">
        <f aca="false">Cours_Bruts!A244</f>
        <v>45721</v>
      </c>
      <c r="B244" s="18" t="str">
        <f aca="false">Cours_Bruts!B244</f>
        <v>XOM</v>
      </c>
      <c r="C244" s="19" t="n">
        <f aca="false">Cours_Bruts!C244</f>
        <v>107.22</v>
      </c>
      <c r="D244" s="20" t="n">
        <f aca="false">IF(B244=B243,(C244-C243)/C243,"")</f>
        <v>0.019492250641818</v>
      </c>
      <c r="E244" s="20" t="n">
        <f aca="false">IF(B244=B243,(1+E243)*(1+IF(D244="",0,D244))-1,0)</f>
        <v>0.0211428571428571</v>
      </c>
      <c r="F244" s="21" t="n">
        <f aca="false">IF(B244=B243,MAX(F243,C244),C244)</f>
        <v>107.22</v>
      </c>
      <c r="G244" s="20" t="n">
        <f aca="false">(C244-F244)/F244</f>
        <v>0</v>
      </c>
      <c r="H244" s="21" t="str">
        <f aca="true">IF(COUNTIFS($B$2:B244,B244)&gt;=20,AVERAGE(OFFSET(C244,-19,0,20,1)),"")</f>
        <v/>
      </c>
      <c r="I244" s="21" t="str">
        <f aca="true">IF(COUNTIFS($B$2:B244,B244)&gt;=50,AVERAGE(OFFSET(C244,-49,0,50,1)),"")</f>
        <v/>
      </c>
    </row>
    <row r="245" customFormat="false" ht="15" hidden="false" customHeight="false" outlineLevel="0" collapsed="false">
      <c r="A245" s="17" t="n">
        <f aca="false">Cours_Bruts!A245</f>
        <v>45722</v>
      </c>
      <c r="B245" s="18" t="str">
        <f aca="false">Cours_Bruts!B245</f>
        <v>XOM</v>
      </c>
      <c r="C245" s="19" t="n">
        <f aca="false">Cours_Bruts!C245</f>
        <v>107.7</v>
      </c>
      <c r="D245" s="20" t="n">
        <f aca="false">IF(B245=B244,(C245-C244)/C244,"")</f>
        <v>0.00447677672076109</v>
      </c>
      <c r="E245" s="20" t="n">
        <f aca="false">IF(B245=B244,(1+E244)*(1+IF(D245="",0,D245))-1,0)</f>
        <v>0.0257142857142858</v>
      </c>
      <c r="F245" s="21" t="n">
        <f aca="false">IF(B245=B244,MAX(F244,C245),C245)</f>
        <v>107.7</v>
      </c>
      <c r="G245" s="20" t="n">
        <f aca="false">(C245-F245)/F245</f>
        <v>0</v>
      </c>
      <c r="H245" s="21" t="str">
        <f aca="true">IF(COUNTIFS($B$2:B245,B245)&gt;=20,AVERAGE(OFFSET(C245,-19,0,20,1)),"")</f>
        <v/>
      </c>
      <c r="I245" s="21" t="str">
        <f aca="true">IF(COUNTIFS($B$2:B245,B245)&gt;=50,AVERAGE(OFFSET(C245,-49,0,50,1)),"")</f>
        <v/>
      </c>
    </row>
    <row r="246" customFormat="false" ht="15" hidden="false" customHeight="false" outlineLevel="0" collapsed="false">
      <c r="A246" s="17" t="n">
        <f aca="false">Cours_Bruts!A246</f>
        <v>45723</v>
      </c>
      <c r="B246" s="18" t="str">
        <f aca="false">Cours_Bruts!B246</f>
        <v>XOM</v>
      </c>
      <c r="C246" s="19" t="n">
        <f aca="false">Cours_Bruts!C246</f>
        <v>107.1</v>
      </c>
      <c r="D246" s="20" t="n">
        <f aca="false">IF(B246=B245,(C246-C245)/C245,"")</f>
        <v>-0.0055710306406686</v>
      </c>
      <c r="E246" s="20" t="n">
        <f aca="false">IF(B246=B245,(1+E245)*(1+IF(D246="",0,D246))-1,0)</f>
        <v>0.02</v>
      </c>
      <c r="F246" s="21" t="n">
        <f aca="false">IF(B246=B245,MAX(F245,C246),C246)</f>
        <v>107.7</v>
      </c>
      <c r="G246" s="20" t="n">
        <f aca="false">(C246-F246)/F246</f>
        <v>-0.0055710306406686</v>
      </c>
      <c r="H246" s="21" t="str">
        <f aca="true">IF(COUNTIFS($B$2:B246,B246)&gt;=20,AVERAGE(OFFSET(C246,-19,0,20,1)),"")</f>
        <v/>
      </c>
      <c r="I246" s="21" t="str">
        <f aca="true">IF(COUNTIFS($B$2:B246,B246)&gt;=50,AVERAGE(OFFSET(C246,-49,0,50,1)),"")</f>
        <v/>
      </c>
    </row>
    <row r="247" customFormat="false" ht="15" hidden="false" customHeight="false" outlineLevel="0" collapsed="false">
      <c r="A247" s="17" t="n">
        <f aca="false">Cours_Bruts!A247</f>
        <v>45726</v>
      </c>
      <c r="B247" s="18" t="str">
        <f aca="false">Cours_Bruts!B247</f>
        <v>XOM</v>
      </c>
      <c r="C247" s="19" t="n">
        <f aca="false">Cours_Bruts!C247</f>
        <v>108.01</v>
      </c>
      <c r="D247" s="20" t="n">
        <f aca="false">IF(B247=B246,(C247-C246)/C246,"")</f>
        <v>0.00849673202614389</v>
      </c>
      <c r="E247" s="20" t="n">
        <f aca="false">IF(B247=B246,(1+E246)*(1+IF(D247="",0,D247))-1,0)</f>
        <v>0.0286666666666668</v>
      </c>
      <c r="F247" s="21" t="n">
        <f aca="false">IF(B247=B246,MAX(F246,C247),C247)</f>
        <v>108.01</v>
      </c>
      <c r="G247" s="20" t="n">
        <f aca="false">(C247-F247)/F247</f>
        <v>0</v>
      </c>
      <c r="H247" s="21" t="str">
        <f aca="true">IF(COUNTIFS($B$2:B247,B247)&gt;=20,AVERAGE(OFFSET(C247,-19,0,20,1)),"")</f>
        <v/>
      </c>
      <c r="I247" s="21" t="str">
        <f aca="true">IF(COUNTIFS($B$2:B247,B247)&gt;=50,AVERAGE(OFFSET(C247,-49,0,50,1)),"")</f>
        <v/>
      </c>
    </row>
    <row r="248" customFormat="false" ht="15" hidden="false" customHeight="false" outlineLevel="0" collapsed="false">
      <c r="A248" s="17" t="n">
        <f aca="false">Cours_Bruts!A248</f>
        <v>45727</v>
      </c>
      <c r="B248" s="18" t="str">
        <f aca="false">Cours_Bruts!B248</f>
        <v>XOM</v>
      </c>
      <c r="C248" s="19" t="n">
        <f aca="false">Cours_Bruts!C248</f>
        <v>108.4</v>
      </c>
      <c r="D248" s="20" t="n">
        <f aca="false">IF(B248=B247,(C248-C247)/C247,"")</f>
        <v>0.00361077677992779</v>
      </c>
      <c r="E248" s="20" t="n">
        <f aca="false">IF(B248=B247,(1+E247)*(1+IF(D248="",0,D248))-1,0)</f>
        <v>0.0323809523809526</v>
      </c>
      <c r="F248" s="21" t="n">
        <f aca="false">IF(B248=B247,MAX(F247,C248),C248)</f>
        <v>108.4</v>
      </c>
      <c r="G248" s="20" t="n">
        <f aca="false">(C248-F248)/F248</f>
        <v>0</v>
      </c>
      <c r="H248" s="21" t="str">
        <f aca="true">IF(COUNTIFS($B$2:B248,B248)&gt;=20,AVERAGE(OFFSET(C248,-19,0,20,1)),"")</f>
        <v/>
      </c>
      <c r="I248" s="21" t="str">
        <f aca="true">IF(COUNTIFS($B$2:B248,B248)&gt;=50,AVERAGE(OFFSET(C248,-49,0,50,1)),"")</f>
        <v/>
      </c>
    </row>
    <row r="249" customFormat="false" ht="15" hidden="false" customHeight="false" outlineLevel="0" collapsed="false">
      <c r="A249" s="17" t="n">
        <f aca="false">Cours_Bruts!A249</f>
        <v>45728</v>
      </c>
      <c r="B249" s="18" t="str">
        <f aca="false">Cours_Bruts!B249</f>
        <v>XOM</v>
      </c>
      <c r="C249" s="19" t="n">
        <f aca="false">Cours_Bruts!C249</f>
        <v>110.05</v>
      </c>
      <c r="D249" s="20" t="n">
        <f aca="false">IF(B249=B248,(C249-C248)/C248,"")</f>
        <v>0.0152214022140221</v>
      </c>
      <c r="E249" s="20" t="n">
        <f aca="false">IF(B249=B248,(1+E248)*(1+IF(D249="",0,D249))-1,0)</f>
        <v>0.0480952380952382</v>
      </c>
      <c r="F249" s="21" t="n">
        <f aca="false">IF(B249=B248,MAX(F248,C249),C249)</f>
        <v>110.05</v>
      </c>
      <c r="G249" s="20" t="n">
        <f aca="false">(C249-F249)/F249</f>
        <v>0</v>
      </c>
      <c r="H249" s="21" t="str">
        <f aca="true">IF(COUNTIFS($B$2:B249,B249)&gt;=20,AVERAGE(OFFSET(C249,-19,0,20,1)),"")</f>
        <v/>
      </c>
      <c r="I249" s="21" t="str">
        <f aca="true">IF(COUNTIFS($B$2:B249,B249)&gt;=50,AVERAGE(OFFSET(C249,-49,0,50,1)),"")</f>
        <v/>
      </c>
    </row>
    <row r="250" customFormat="false" ht="15" hidden="false" customHeight="false" outlineLevel="0" collapsed="false">
      <c r="A250" s="17" t="n">
        <f aca="false">Cours_Bruts!A250</f>
        <v>45729</v>
      </c>
      <c r="B250" s="18" t="str">
        <f aca="false">Cours_Bruts!B250</f>
        <v>XOM</v>
      </c>
      <c r="C250" s="19" t="n">
        <f aca="false">Cours_Bruts!C250</f>
        <v>112.73</v>
      </c>
      <c r="D250" s="20" t="n">
        <f aca="false">IF(B250=B249,(C250-C249)/C249,"")</f>
        <v>0.0243525670149933</v>
      </c>
      <c r="E250" s="20" t="n">
        <f aca="false">IF(B250=B249,(1+E249)*(1+IF(D250="",0,D250))-1,0)</f>
        <v>0.0736190476190479</v>
      </c>
      <c r="F250" s="21" t="n">
        <f aca="false">IF(B250=B249,MAX(F249,C250),C250)</f>
        <v>112.73</v>
      </c>
      <c r="G250" s="20" t="n">
        <f aca="false">(C250-F250)/F250</f>
        <v>0</v>
      </c>
      <c r="H250" s="21" t="str">
        <f aca="true">IF(COUNTIFS($B$2:B250,B250)&gt;=20,AVERAGE(OFFSET(C250,-19,0,20,1)),"")</f>
        <v/>
      </c>
      <c r="I250" s="21" t="str">
        <f aca="true">IF(COUNTIFS($B$2:B250,B250)&gt;=50,AVERAGE(OFFSET(C250,-49,0,50,1)),"")</f>
        <v/>
      </c>
    </row>
    <row r="251" customFormat="false" ht="15" hidden="false" customHeight="false" outlineLevel="0" collapsed="false">
      <c r="A251" s="17" t="n">
        <f aca="false">Cours_Bruts!A251</f>
        <v>45730</v>
      </c>
      <c r="B251" s="18" t="str">
        <f aca="false">Cours_Bruts!B251</f>
        <v>XOM</v>
      </c>
      <c r="C251" s="19" t="n">
        <f aca="false">Cours_Bruts!C251</f>
        <v>110.79</v>
      </c>
      <c r="D251" s="20" t="n">
        <f aca="false">IF(B251=B250,(C251-C250)/C250,"")</f>
        <v>-0.0172092610662645</v>
      </c>
      <c r="E251" s="20" t="n">
        <f aca="false">IF(B251=B250,(1+E250)*(1+IF(D251="",0,D251))-1,0)</f>
        <v>0.0551428571428574</v>
      </c>
      <c r="F251" s="21" t="n">
        <f aca="false">IF(B251=B250,MAX(F250,C251),C251)</f>
        <v>112.73</v>
      </c>
      <c r="G251" s="20" t="n">
        <f aca="false">(C251-F251)/F251</f>
        <v>-0.0172092610662645</v>
      </c>
      <c r="H251" s="21" t="str">
        <f aca="true">IF(COUNTIFS($B$2:B251,B251)&gt;=20,AVERAGE(OFFSET(C251,-19,0,20,1)),"")</f>
        <v/>
      </c>
      <c r="I251" s="21" t="str">
        <f aca="true">IF(COUNTIFS($B$2:B251,B251)&gt;=50,AVERAGE(OFFSET(C251,-49,0,50,1)),"")</f>
        <v/>
      </c>
    </row>
    <row r="252" customFormat="false" ht="15" hidden="false" customHeight="false" outlineLevel="0" collapsed="false">
      <c r="A252" s="17" t="n">
        <f aca="false">Cours_Bruts!A252</f>
        <v>45733</v>
      </c>
      <c r="B252" s="18" t="str">
        <f aca="false">Cours_Bruts!B252</f>
        <v>XOM</v>
      </c>
      <c r="C252" s="19" t="n">
        <f aca="false">Cours_Bruts!C252</f>
        <v>106.07</v>
      </c>
      <c r="D252" s="20" t="n">
        <f aca="false">IF(B252=B251,(C252-C251)/C251,"")</f>
        <v>-0.0426031230255439</v>
      </c>
      <c r="E252" s="20" t="n">
        <f aca="false">IF(B252=B251,(1+E251)*(1+IF(D252="",0,D252))-1,0)</f>
        <v>0.0101904761904763</v>
      </c>
      <c r="F252" s="21" t="n">
        <f aca="false">IF(B252=B251,MAX(F251,C252),C252)</f>
        <v>112.73</v>
      </c>
      <c r="G252" s="20" t="n">
        <f aca="false">(C252-F252)/F252</f>
        <v>-0.0590792158254237</v>
      </c>
      <c r="H252" s="21" t="str">
        <f aca="true">IF(COUNTIFS($B$2:B252,B252)&gt;=20,AVERAGE(OFFSET(C252,-19,0,20,1)),"")</f>
        <v/>
      </c>
      <c r="I252" s="21" t="str">
        <f aca="true">IF(COUNTIFS($B$2:B252,B252)&gt;=50,AVERAGE(OFFSET(C252,-49,0,50,1)),"")</f>
        <v/>
      </c>
    </row>
    <row r="253" customFormat="false" ht="15" hidden="false" customHeight="false" outlineLevel="0" collapsed="false">
      <c r="A253" s="17" t="n">
        <f aca="false">Cours_Bruts!A253</f>
        <v>45734</v>
      </c>
      <c r="B253" s="18" t="str">
        <f aca="false">Cours_Bruts!B253</f>
        <v>XOM</v>
      </c>
      <c r="C253" s="19" t="n">
        <f aca="false">Cours_Bruts!C253</f>
        <v>105.4</v>
      </c>
      <c r="D253" s="20" t="n">
        <f aca="false">IF(B253=B252,(C253-C252)/C252,"")</f>
        <v>-0.00631658338832835</v>
      </c>
      <c r="E253" s="20" t="n">
        <f aca="false">IF(B253=B252,(1+E252)*(1+IF(D253="",0,D253))-1,0)</f>
        <v>0.00380952380952415</v>
      </c>
      <c r="F253" s="21" t="n">
        <f aca="false">IF(B253=B252,MAX(F252,C253),C253)</f>
        <v>112.73</v>
      </c>
      <c r="G253" s="20" t="n">
        <f aca="false">(C253-F253)/F253</f>
        <v>-0.0650226204204737</v>
      </c>
      <c r="H253" s="21" t="str">
        <f aca="true">IF(COUNTIFS($B$2:B253,B253)&gt;=20,AVERAGE(OFFSET(C253,-19,0,20,1)),"")</f>
        <v/>
      </c>
      <c r="I253" s="21" t="str">
        <f aca="true">IF(COUNTIFS($B$2:B253,B253)&gt;=50,AVERAGE(OFFSET(C253,-49,0,50,1)),"")</f>
        <v/>
      </c>
    </row>
    <row r="254" customFormat="false" ht="15" hidden="false" customHeight="false" outlineLevel="0" collapsed="false">
      <c r="A254" s="17" t="n">
        <f aca="false">Cours_Bruts!A254</f>
        <v>45735</v>
      </c>
      <c r="B254" s="18" t="str">
        <f aca="false">Cours_Bruts!B254</f>
        <v>XOM</v>
      </c>
      <c r="C254" s="19" t="n">
        <f aca="false">Cours_Bruts!C254</f>
        <v>103.46</v>
      </c>
      <c r="D254" s="20" t="n">
        <f aca="false">IF(B254=B253,(C254-C253)/C253,"")</f>
        <v>-0.018406072106262</v>
      </c>
      <c r="E254" s="20" t="n">
        <f aca="false">IF(B254=B253,(1+E253)*(1+IF(D254="",0,D254))-1,0)</f>
        <v>-0.0146666666666665</v>
      </c>
      <c r="F254" s="21" t="n">
        <f aca="false">IF(B254=B253,MAX(F253,C254),C254)</f>
        <v>112.73</v>
      </c>
      <c r="G254" s="20" t="n">
        <f aca="false">(C254-F254)/F254</f>
        <v>-0.0822318814867383</v>
      </c>
      <c r="H254" s="21" t="str">
        <f aca="true">IF(COUNTIFS($B$2:B254,B254)&gt;=20,AVERAGE(OFFSET(C254,-19,0,20,1)),"")</f>
        <v/>
      </c>
      <c r="I254" s="21" t="str">
        <f aca="true">IF(COUNTIFS($B$2:B254,B254)&gt;=50,AVERAGE(OFFSET(C254,-49,0,50,1)),"")</f>
        <v/>
      </c>
    </row>
    <row r="255" customFormat="false" ht="15" hidden="false" customHeight="false" outlineLevel="0" collapsed="false">
      <c r="A255" s="17" t="n">
        <f aca="false">Cours_Bruts!A255</f>
        <v>45736</v>
      </c>
      <c r="B255" s="18" t="str">
        <f aca="false">Cours_Bruts!B255</f>
        <v>XOM</v>
      </c>
      <c r="C255" s="19" t="n">
        <f aca="false">Cours_Bruts!C255</f>
        <v>105.05</v>
      </c>
      <c r="D255" s="20" t="n">
        <f aca="false">IF(B255=B254,(C255-C254)/C254,"")</f>
        <v>0.0153682582640634</v>
      </c>
      <c r="E255" s="20" t="n">
        <f aca="false">IF(B255=B254,(1+E254)*(1+IF(D255="",0,D255))-1,0)</f>
        <v>0.000476190476190741</v>
      </c>
      <c r="F255" s="21" t="n">
        <f aca="false">IF(B255=B254,MAX(F254,C255),C255)</f>
        <v>112.73</v>
      </c>
      <c r="G255" s="20" t="n">
        <f aca="false">(C255-F255)/F255</f>
        <v>-0.0681273840149029</v>
      </c>
      <c r="H255" s="21" t="str">
        <f aca="true">IF(COUNTIFS($B$2:B255,B255)&gt;=20,AVERAGE(OFFSET(C255,-19,0,20,1)),"")</f>
        <v/>
      </c>
      <c r="I255" s="21" t="str">
        <f aca="true">IF(COUNTIFS($B$2:B255,B255)&gt;=50,AVERAGE(OFFSET(C255,-49,0,50,1)),"")</f>
        <v/>
      </c>
    </row>
    <row r="256" customFormat="false" ht="15" hidden="false" customHeight="false" outlineLevel="0" collapsed="false">
      <c r="A256" s="17" t="n">
        <f aca="false">Cours_Bruts!A256</f>
        <v>45737</v>
      </c>
      <c r="B256" s="18" t="str">
        <f aca="false">Cours_Bruts!B256</f>
        <v>XOM</v>
      </c>
      <c r="C256" s="19" t="n">
        <f aca="false">Cours_Bruts!C256</f>
        <v>103.67</v>
      </c>
      <c r="D256" s="20" t="n">
        <f aca="false">IF(B256=B255,(C256-C255)/C255,"")</f>
        <v>-0.013136601618277</v>
      </c>
      <c r="E256" s="20" t="n">
        <f aca="false">IF(B256=B255,(1+E255)*(1+IF(D256="",0,D256))-1,0)</f>
        <v>-0.0126666666666664</v>
      </c>
      <c r="F256" s="21" t="n">
        <f aca="false">IF(B256=B255,MAX(F255,C256),C256)</f>
        <v>112.73</v>
      </c>
      <c r="G256" s="20" t="n">
        <f aca="false">(C256-F256)/F256</f>
        <v>-0.0803690233300807</v>
      </c>
      <c r="H256" s="21" t="str">
        <f aca="true">IF(COUNTIFS($B$2:B256,B256)&gt;=20,AVERAGE(OFFSET(C256,-19,0,20,1)),"")</f>
        <v/>
      </c>
      <c r="I256" s="21" t="str">
        <f aca="true">IF(COUNTIFS($B$2:B256,B256)&gt;=50,AVERAGE(OFFSET(C256,-49,0,50,1)),"")</f>
        <v/>
      </c>
    </row>
    <row r="257" customFormat="false" ht="15" hidden="false" customHeight="false" outlineLevel="0" collapsed="false">
      <c r="A257" s="17" t="n">
        <f aca="false">Cours_Bruts!A257</f>
        <v>45740</v>
      </c>
      <c r="B257" s="18" t="str">
        <f aca="false">Cours_Bruts!B257</f>
        <v>XOM</v>
      </c>
      <c r="C257" s="19" t="n">
        <f aca="false">Cours_Bruts!C257</f>
        <v>100.14</v>
      </c>
      <c r="D257" s="20" t="n">
        <f aca="false">IF(B257=B256,(C257-C256)/C256,"")</f>
        <v>-0.0340503520787113</v>
      </c>
      <c r="E257" s="20" t="n">
        <f aca="false">IF(B257=B256,(1+E256)*(1+IF(D257="",0,D257))-1,0)</f>
        <v>-0.046285714285714</v>
      </c>
      <c r="F257" s="21" t="n">
        <f aca="false">IF(B257=B256,MAX(F256,C257),C257)</f>
        <v>112.73</v>
      </c>
      <c r="G257" s="20" t="n">
        <f aca="false">(C257-F257)/F257</f>
        <v>-0.111682781868181</v>
      </c>
      <c r="H257" s="21" t="str">
        <f aca="true">IF(COUNTIFS($B$2:B257,B257)&gt;=20,AVERAGE(OFFSET(C257,-19,0,20,1)),"")</f>
        <v/>
      </c>
      <c r="I257" s="21" t="str">
        <f aca="true">IF(COUNTIFS($B$2:B257,B257)&gt;=50,AVERAGE(OFFSET(C257,-49,0,50,1)),"")</f>
        <v/>
      </c>
    </row>
    <row r="258" customFormat="false" ht="15" hidden="false" customHeight="false" outlineLevel="0" collapsed="false">
      <c r="A258" s="17" t="n">
        <f aca="false">Cours_Bruts!A258</f>
        <v>45741</v>
      </c>
      <c r="B258" s="18" t="str">
        <f aca="false">Cours_Bruts!B258</f>
        <v>XOM</v>
      </c>
      <c r="C258" s="19" t="n">
        <f aca="false">Cours_Bruts!C258</f>
        <v>99.1</v>
      </c>
      <c r="D258" s="20" t="n">
        <f aca="false">IF(B258=B257,(C258-C257)/C257,"")</f>
        <v>-0.0103854603555024</v>
      </c>
      <c r="E258" s="20" t="n">
        <f aca="false">IF(B258=B257,(1+E257)*(1+IF(D258="",0,D258))-1,0)</f>
        <v>-0.056190476190476</v>
      </c>
      <c r="F258" s="21" t="n">
        <f aca="false">IF(B258=B257,MAX(F257,C258),C258)</f>
        <v>112.73</v>
      </c>
      <c r="G258" s="20" t="n">
        <f aca="false">(C258-F258)/F258</f>
        <v>-0.120908365120199</v>
      </c>
      <c r="H258" s="21" t="str">
        <f aca="true">IF(COUNTIFS($B$2:B258,B258)&gt;=20,AVERAGE(OFFSET(C258,-19,0,20,1)),"")</f>
        <v/>
      </c>
      <c r="I258" s="21" t="str">
        <f aca="true">IF(COUNTIFS($B$2:B258,B258)&gt;=50,AVERAGE(OFFSET(C258,-49,0,50,1)),"")</f>
        <v/>
      </c>
    </row>
    <row r="259" customFormat="false" ht="15" hidden="false" customHeight="false" outlineLevel="0" collapsed="false">
      <c r="A259" s="17" t="n">
        <f aca="false">Cours_Bruts!A259</f>
        <v>45742</v>
      </c>
      <c r="B259" s="18" t="str">
        <f aca="false">Cours_Bruts!B259</f>
        <v>XOM</v>
      </c>
      <c r="C259" s="19" t="n">
        <f aca="false">Cours_Bruts!C259</f>
        <v>96.42</v>
      </c>
      <c r="D259" s="20" t="n">
        <f aca="false">IF(B259=B258,(C259-C258)/C258,"")</f>
        <v>-0.0270433905146316</v>
      </c>
      <c r="E259" s="20" t="n">
        <f aca="false">IF(B259=B258,(1+E258)*(1+IF(D259="",0,D259))-1,0)</f>
        <v>-0.0817142857142854</v>
      </c>
      <c r="F259" s="21" t="n">
        <f aca="false">IF(B259=B258,MAX(F258,C259),C259)</f>
        <v>112.73</v>
      </c>
      <c r="G259" s="20" t="n">
        <f aca="false">(C259-F259)/F259</f>
        <v>-0.144681983500399</v>
      </c>
      <c r="H259" s="21" t="str">
        <f aca="true">IF(COUNTIFS($B$2:B259,B259)&gt;=20,AVERAGE(OFFSET(C259,-19,0,20,1)),"")</f>
        <v/>
      </c>
      <c r="I259" s="21" t="str">
        <f aca="true">IF(COUNTIFS($B$2:B259,B259)&gt;=50,AVERAGE(OFFSET(C259,-49,0,50,1)),"")</f>
        <v/>
      </c>
    </row>
    <row r="260" customFormat="false" ht="15" hidden="false" customHeight="false" outlineLevel="0" collapsed="false">
      <c r="A260" s="17" t="n">
        <f aca="false">Cours_Bruts!A260</f>
        <v>45743</v>
      </c>
      <c r="B260" s="18" t="str">
        <f aca="false">Cours_Bruts!B260</f>
        <v>XOM</v>
      </c>
      <c r="C260" s="19" t="n">
        <f aca="false">Cours_Bruts!C260</f>
        <v>99.23</v>
      </c>
      <c r="D260" s="20" t="n">
        <f aca="false">IF(B260=B259,(C260-C259)/C259,"")</f>
        <v>0.0291433312590749</v>
      </c>
      <c r="E260" s="20" t="n">
        <f aca="false">IF(B260=B259,(1+E259)*(1+IF(D260="",0,D260))-1,0)</f>
        <v>-0.0549523809523805</v>
      </c>
      <c r="F260" s="21" t="n">
        <f aca="false">IF(B260=B259,MAX(F259,C260),C260)</f>
        <v>112.73</v>
      </c>
      <c r="G260" s="20" t="n">
        <f aca="false">(C260-F260)/F260</f>
        <v>-0.119755167213696</v>
      </c>
      <c r="H260" s="21" t="str">
        <f aca="true">IF(COUNTIFS($B$2:B260,B260)&gt;=20,AVERAGE(OFFSET(C260,-19,0,20,1)),"")</f>
        <v/>
      </c>
      <c r="I260" s="21" t="str">
        <f aca="true">IF(COUNTIFS($B$2:B260,B260)&gt;=50,AVERAGE(OFFSET(C260,-49,0,50,1)),"")</f>
        <v/>
      </c>
    </row>
    <row r="261" customFormat="false" ht="15" hidden="false" customHeight="false" outlineLevel="0" collapsed="false">
      <c r="A261" s="17" t="n">
        <f aca="false">Cours_Bruts!A261</f>
        <v>45744</v>
      </c>
      <c r="B261" s="18" t="str">
        <f aca="false">Cours_Bruts!B261</f>
        <v>XOM</v>
      </c>
      <c r="C261" s="19" t="n">
        <f aca="false">Cours_Bruts!C261</f>
        <v>100.1</v>
      </c>
      <c r="D261" s="20" t="n">
        <f aca="false">IF(B261=B260,(C261-C260)/C260,"")</f>
        <v>0.00876750982565747</v>
      </c>
      <c r="E261" s="20" t="n">
        <f aca="false">IF(B261=B260,(1+E260)*(1+IF(D261="",0,D261))-1,0)</f>
        <v>-0.0466666666666664</v>
      </c>
      <c r="F261" s="21" t="n">
        <f aca="false">IF(B261=B260,MAX(F260,C261),C261)</f>
        <v>112.73</v>
      </c>
      <c r="G261" s="20" t="n">
        <f aca="false">(C261-F261)/F261</f>
        <v>-0.112037611993258</v>
      </c>
      <c r="H261" s="21" t="n">
        <f aca="true">IF(COUNTIFS($B$2:B261,B261)&gt;=20,AVERAGE(OFFSET(C261,-19,0,20,1)),"")</f>
        <v>105.0405</v>
      </c>
      <c r="I261" s="21" t="str">
        <f aca="true">IF(COUNTIFS($B$2:B261,B261)&gt;=50,AVERAGE(OFFSET(C261,-49,0,50,1)),"")</f>
        <v/>
      </c>
    </row>
    <row r="262" customFormat="false" ht="15" hidden="false" customHeight="false" outlineLevel="0" collapsed="false">
      <c r="A262" s="17" t="n">
        <f aca="false">Cours_Bruts!A262</f>
        <v>45747</v>
      </c>
      <c r="B262" s="18" t="str">
        <f aca="false">Cours_Bruts!B262</f>
        <v>XOM</v>
      </c>
      <c r="C262" s="19" t="n">
        <f aca="false">Cours_Bruts!C262</f>
        <v>101.3</v>
      </c>
      <c r="D262" s="20" t="n">
        <f aca="false">IF(B262=B261,(C262-C261)/C261,"")</f>
        <v>0.011988011988012</v>
      </c>
      <c r="E262" s="20" t="n">
        <f aca="false">IF(B262=B261,(1+E261)*(1+IF(D262="",0,D262))-1,0)</f>
        <v>-0.035238095238095</v>
      </c>
      <c r="F262" s="21" t="n">
        <f aca="false">IF(B262=B261,MAX(F261,C262),C262)</f>
        <v>112.73</v>
      </c>
      <c r="G262" s="20" t="n">
        <f aca="false">(C262-F262)/F262</f>
        <v>-0.10139270824093</v>
      </c>
      <c r="H262" s="21" t="n">
        <f aca="true">IF(COUNTIFS($B$2:B262,B262)&gt;=20,AVERAGE(OFFSET(C262,-19,0,20,1)),"")</f>
        <v>104.8555</v>
      </c>
      <c r="I262" s="21" t="str">
        <f aca="true">IF(COUNTIFS($B$2:B262,B262)&gt;=50,AVERAGE(OFFSET(C262,-49,0,50,1)),"")</f>
        <v/>
      </c>
    </row>
    <row r="263" customFormat="false" ht="15" hidden="false" customHeight="false" outlineLevel="0" collapsed="false">
      <c r="A263" s="17" t="n">
        <f aca="false">Cours_Bruts!A263</f>
        <v>45748</v>
      </c>
      <c r="B263" s="18" t="str">
        <f aca="false">Cours_Bruts!B263</f>
        <v>XOM</v>
      </c>
      <c r="C263" s="19" t="n">
        <f aca="false">Cours_Bruts!C263</f>
        <v>102.31</v>
      </c>
      <c r="D263" s="20" t="n">
        <f aca="false">IF(B263=B262,(C263-C262)/C262,"")</f>
        <v>0.00997038499506422</v>
      </c>
      <c r="E263" s="20" t="n">
        <f aca="false">IF(B263=B262,(1+E262)*(1+IF(D263="",0,D263))-1,0)</f>
        <v>-0.0256190476190472</v>
      </c>
      <c r="F263" s="21" t="n">
        <f aca="false">IF(B263=B262,MAX(F262,C263),C263)</f>
        <v>112.73</v>
      </c>
      <c r="G263" s="20" t="n">
        <f aca="false">(C263-F263)/F263</f>
        <v>-0.0924332475827198</v>
      </c>
      <c r="H263" s="21" t="n">
        <f aca="true">IF(COUNTIFS($B$2:B263,B263)&gt;=20,AVERAGE(OFFSET(C263,-19,0,20,1)),"")</f>
        <v>104.7125</v>
      </c>
      <c r="I263" s="21" t="str">
        <f aca="true">IF(COUNTIFS($B$2:B263,B263)&gt;=50,AVERAGE(OFFSET(C263,-49,0,50,1)),"")</f>
        <v/>
      </c>
    </row>
    <row r="264" customFormat="false" ht="15" hidden="false" customHeight="false" outlineLevel="0" collapsed="false">
      <c r="A264" s="17" t="n">
        <f aca="false">Cours_Bruts!A264</f>
        <v>45749</v>
      </c>
      <c r="B264" s="18" t="str">
        <f aca="false">Cours_Bruts!B264</f>
        <v>XOM</v>
      </c>
      <c r="C264" s="19" t="n">
        <f aca="false">Cours_Bruts!C264</f>
        <v>103.9</v>
      </c>
      <c r="D264" s="20" t="n">
        <f aca="false">IF(B264=B263,(C264-C263)/C263,"")</f>
        <v>0.0155410028345226</v>
      </c>
      <c r="E264" s="20" t="n">
        <f aca="false">IF(B264=B263,(1+E263)*(1+IF(D264="",0,D264))-1,0)</f>
        <v>-0.01047619047619</v>
      </c>
      <c r="F264" s="21" t="n">
        <f aca="false">IF(B264=B263,MAX(F263,C264),C264)</f>
        <v>112.73</v>
      </c>
      <c r="G264" s="20" t="n">
        <f aca="false">(C264-F264)/F264</f>
        <v>-0.0783287501108844</v>
      </c>
      <c r="H264" s="21" t="n">
        <f aca="true">IF(COUNTIFS($B$2:B264,B264)&gt;=20,AVERAGE(OFFSET(C264,-19,0,20,1)),"")</f>
        <v>104.5465</v>
      </c>
      <c r="I264" s="21" t="str">
        <f aca="true">IF(COUNTIFS($B$2:B264,B264)&gt;=50,AVERAGE(OFFSET(C264,-49,0,50,1)),"")</f>
        <v/>
      </c>
    </row>
    <row r="265" customFormat="false" ht="15" hidden="false" customHeight="false" outlineLevel="0" collapsed="false">
      <c r="A265" s="17" t="n">
        <f aca="false">Cours_Bruts!A265</f>
        <v>45750</v>
      </c>
      <c r="B265" s="18" t="str">
        <f aca="false">Cours_Bruts!B265</f>
        <v>XOM</v>
      </c>
      <c r="C265" s="19" t="n">
        <f aca="false">Cours_Bruts!C265</f>
        <v>106.07</v>
      </c>
      <c r="D265" s="20" t="n">
        <f aca="false">IF(B265=B264,(C265-C264)/C264,"")</f>
        <v>0.0208854667949951</v>
      </c>
      <c r="E265" s="20" t="n">
        <f aca="false">IF(B265=B264,(1+E264)*(1+IF(D265="",0,D265))-1,0)</f>
        <v>0.0101904761904768</v>
      </c>
      <c r="F265" s="21" t="n">
        <f aca="false">IF(B265=B264,MAX(F264,C265),C265)</f>
        <v>112.73</v>
      </c>
      <c r="G265" s="20" t="n">
        <f aca="false">(C265-F265)/F265</f>
        <v>-0.0590792158254237</v>
      </c>
      <c r="H265" s="21" t="n">
        <f aca="true">IF(COUNTIFS($B$2:B265,B265)&gt;=20,AVERAGE(OFFSET(C265,-19,0,20,1)),"")</f>
        <v>104.465</v>
      </c>
      <c r="I265" s="21" t="str">
        <f aca="true">IF(COUNTIFS($B$2:B265,B265)&gt;=50,AVERAGE(OFFSET(C265,-49,0,50,1)),"")</f>
        <v/>
      </c>
    </row>
    <row r="266" customFormat="false" ht="15" hidden="false" customHeight="false" outlineLevel="0" collapsed="false">
      <c r="A266" s="17" t="n">
        <f aca="false">Cours_Bruts!A266</f>
        <v>45751</v>
      </c>
      <c r="B266" s="18" t="str">
        <f aca="false">Cours_Bruts!B266</f>
        <v>XOM</v>
      </c>
      <c r="C266" s="19" t="n">
        <f aca="false">Cours_Bruts!C266</f>
        <v>105.04</v>
      </c>
      <c r="D266" s="20" t="n">
        <f aca="false">IF(B266=B265,(C266-C265)/C265,"")</f>
        <v>-0.00971056849250483</v>
      </c>
      <c r="E266" s="20" t="n">
        <f aca="false">IF(B266=B265,(1+E265)*(1+IF(D266="",0,D266))-1,0)</f>
        <v>0.000380952380953037</v>
      </c>
      <c r="F266" s="21" t="n">
        <f aca="false">IF(B266=B265,MAX(F265,C266),C266)</f>
        <v>112.73</v>
      </c>
      <c r="G266" s="20" t="n">
        <f aca="false">(C266-F266)/F266</f>
        <v>-0.0682160915461723</v>
      </c>
      <c r="H266" s="21" t="n">
        <f aca="true">IF(COUNTIFS($B$2:B266,B266)&gt;=20,AVERAGE(OFFSET(C266,-19,0,20,1)),"")</f>
        <v>104.362</v>
      </c>
      <c r="I266" s="21" t="str">
        <f aca="true">IF(COUNTIFS($B$2:B266,B266)&gt;=50,AVERAGE(OFFSET(C266,-49,0,50,1)),"")</f>
        <v/>
      </c>
    </row>
    <row r="267" customFormat="false" ht="15" hidden="false" customHeight="false" outlineLevel="0" collapsed="false">
      <c r="A267" s="17" t="n">
        <f aca="false">Cours_Bruts!A267</f>
        <v>45754</v>
      </c>
      <c r="B267" s="18" t="str">
        <f aca="false">Cours_Bruts!B267</f>
        <v>XOM</v>
      </c>
      <c r="C267" s="19" t="n">
        <f aca="false">Cours_Bruts!C267</f>
        <v>102.33</v>
      </c>
      <c r="D267" s="20" t="n">
        <f aca="false">IF(B267=B266,(C267-C266)/C266,"")</f>
        <v>-0.0257996953541509</v>
      </c>
      <c r="E267" s="20" t="n">
        <f aca="false">IF(B267=B266,(1+E266)*(1+IF(D267="",0,D267))-1,0)</f>
        <v>-0.0254285714285708</v>
      </c>
      <c r="F267" s="21" t="n">
        <f aca="false">IF(B267=B266,MAX(F266,C267),C267)</f>
        <v>112.73</v>
      </c>
      <c r="G267" s="20" t="n">
        <f aca="false">(C267-F267)/F267</f>
        <v>-0.092255832520181</v>
      </c>
      <c r="H267" s="21" t="n">
        <f aca="true">IF(COUNTIFS($B$2:B267,B267)&gt;=20,AVERAGE(OFFSET(C267,-19,0,20,1)),"")</f>
        <v>104.078</v>
      </c>
      <c r="I267" s="21" t="str">
        <f aca="true">IF(COUNTIFS($B$2:B267,B267)&gt;=50,AVERAGE(OFFSET(C267,-49,0,50,1)),"")</f>
        <v/>
      </c>
    </row>
    <row r="268" customFormat="false" ht="15" hidden="false" customHeight="false" outlineLevel="0" collapsed="false">
      <c r="A268" s="17" t="n">
        <f aca="false">Cours_Bruts!A268</f>
        <v>45755</v>
      </c>
      <c r="B268" s="18" t="str">
        <f aca="false">Cours_Bruts!B268</f>
        <v>XOM</v>
      </c>
      <c r="C268" s="19" t="n">
        <f aca="false">Cours_Bruts!C268</f>
        <v>100.76</v>
      </c>
      <c r="D268" s="20" t="n">
        <f aca="false">IF(B268=B267,(C268-C267)/C267,"")</f>
        <v>-0.0153425193003029</v>
      </c>
      <c r="E268" s="20" t="n">
        <f aca="false">IF(B268=B267,(1+E267)*(1+IF(D268="",0,D268))-1,0)</f>
        <v>-0.0403809523809516</v>
      </c>
      <c r="F268" s="21" t="n">
        <f aca="false">IF(B268=B267,MAX(F267,C268),C268)</f>
        <v>112.73</v>
      </c>
      <c r="G268" s="20" t="n">
        <f aca="false">(C268-F268)/F268</f>
        <v>-0.106182914929478</v>
      </c>
      <c r="H268" s="21" t="n">
        <f aca="true">IF(COUNTIFS($B$2:B268,B268)&gt;=20,AVERAGE(OFFSET(C268,-19,0,20,1)),"")</f>
        <v>103.696</v>
      </c>
      <c r="I268" s="21" t="str">
        <f aca="true">IF(COUNTIFS($B$2:B268,B268)&gt;=50,AVERAGE(OFFSET(C268,-49,0,50,1)),"")</f>
        <v/>
      </c>
    </row>
    <row r="269" customFormat="false" ht="15" hidden="false" customHeight="false" outlineLevel="0" collapsed="false">
      <c r="A269" s="17" t="n">
        <f aca="false">Cours_Bruts!A269</f>
        <v>45756</v>
      </c>
      <c r="B269" s="18" t="str">
        <f aca="false">Cours_Bruts!B269</f>
        <v>XOM</v>
      </c>
      <c r="C269" s="19" t="n">
        <f aca="false">Cours_Bruts!C269</f>
        <v>100.7</v>
      </c>
      <c r="D269" s="20" t="n">
        <f aca="false">IF(B269=B268,(C269-C268)/C268,"")</f>
        <v>-0.000595474394601055</v>
      </c>
      <c r="E269" s="20" t="n">
        <f aca="false">IF(B269=B268,(1+E268)*(1+IF(D269="",0,D269))-1,0)</f>
        <v>-0.0409523809523802</v>
      </c>
      <c r="F269" s="21" t="n">
        <f aca="false">IF(B269=B268,MAX(F268,C269),C269)</f>
        <v>112.73</v>
      </c>
      <c r="G269" s="20" t="n">
        <f aca="false">(C269-F269)/F269</f>
        <v>-0.106715160117094</v>
      </c>
      <c r="H269" s="21" t="n">
        <f aca="true">IF(COUNTIFS($B$2:B269,B269)&gt;=20,AVERAGE(OFFSET(C269,-19,0,20,1)),"")</f>
        <v>103.2285</v>
      </c>
      <c r="I269" s="21" t="str">
        <f aca="true">IF(COUNTIFS($B$2:B269,B269)&gt;=50,AVERAGE(OFFSET(C269,-49,0,50,1)),"")</f>
        <v/>
      </c>
    </row>
    <row r="270" customFormat="false" ht="15" hidden="false" customHeight="false" outlineLevel="0" collapsed="false">
      <c r="A270" s="17" t="n">
        <f aca="false">Cours_Bruts!A270</f>
        <v>45757</v>
      </c>
      <c r="B270" s="18" t="str">
        <f aca="false">Cours_Bruts!B270</f>
        <v>XOM</v>
      </c>
      <c r="C270" s="19" t="n">
        <f aca="false">Cours_Bruts!C270</f>
        <v>95.99</v>
      </c>
      <c r="D270" s="20" t="n">
        <f aca="false">IF(B270=B269,(C270-C269)/C269,"")</f>
        <v>-0.0467725918570011</v>
      </c>
      <c r="E270" s="20" t="n">
        <f aca="false">IF(B270=B269,(1+E269)*(1+IF(D270="",0,D270))-1,0)</f>
        <v>-0.0858095238095232</v>
      </c>
      <c r="F270" s="21" t="n">
        <f aca="false">IF(B270=B269,MAX(F269,C270),C270)</f>
        <v>112.73</v>
      </c>
      <c r="G270" s="20" t="n">
        <f aca="false">(C270-F270)/F270</f>
        <v>-0.148496407344984</v>
      </c>
      <c r="H270" s="21" t="n">
        <f aca="true">IF(COUNTIFS($B$2:B270,B270)&gt;=20,AVERAGE(OFFSET(C270,-19,0,20,1)),"")</f>
        <v>102.3915</v>
      </c>
      <c r="I270" s="21" t="str">
        <f aca="true">IF(COUNTIFS($B$2:B270,B270)&gt;=50,AVERAGE(OFFSET(C270,-49,0,50,1)),"")</f>
        <v/>
      </c>
    </row>
    <row r="271" customFormat="false" ht="15" hidden="false" customHeight="false" outlineLevel="0" collapsed="false">
      <c r="A271" s="17" t="n">
        <f aca="false">Cours_Bruts!A271</f>
        <v>45758</v>
      </c>
      <c r="B271" s="18" t="str">
        <f aca="false">Cours_Bruts!B271</f>
        <v>XOM</v>
      </c>
      <c r="C271" s="19" t="n">
        <f aca="false">Cours_Bruts!C271</f>
        <v>98.01</v>
      </c>
      <c r="D271" s="20" t="n">
        <f aca="false">IF(B271=B270,(C271-C270)/C270,"")</f>
        <v>0.021043858735285</v>
      </c>
      <c r="E271" s="20" t="n">
        <f aca="false">IF(B271=B270,(1+E270)*(1+IF(D271="",0,D271))-1,0)</f>
        <v>-0.0665714285714278</v>
      </c>
      <c r="F271" s="21" t="n">
        <f aca="false">IF(B271=B270,MAX(F270,C271),C271)</f>
        <v>112.73</v>
      </c>
      <c r="G271" s="20" t="n">
        <f aca="false">(C271-F271)/F271</f>
        <v>-0.130577486028564</v>
      </c>
      <c r="H271" s="21" t="n">
        <f aca="true">IF(COUNTIFS($B$2:B271,B271)&gt;=20,AVERAGE(OFFSET(C271,-19,0,20,1)),"")</f>
        <v>101.7525</v>
      </c>
      <c r="I271" s="21" t="str">
        <f aca="true">IF(COUNTIFS($B$2:B271,B271)&gt;=50,AVERAGE(OFFSET(C271,-49,0,50,1)),"")</f>
        <v/>
      </c>
    </row>
    <row r="272" customFormat="false" ht="15" hidden="false" customHeight="false" outlineLevel="0" collapsed="false">
      <c r="A272" s="17" t="n">
        <f aca="false">Cours_Bruts!A272</f>
        <v>45761</v>
      </c>
      <c r="B272" s="18" t="str">
        <f aca="false">Cours_Bruts!B272</f>
        <v>XOM</v>
      </c>
      <c r="C272" s="19" t="n">
        <f aca="false">Cours_Bruts!C272</f>
        <v>94.63</v>
      </c>
      <c r="D272" s="20" t="n">
        <f aca="false">IF(B272=B271,(C272-C271)/C271,"")</f>
        <v>-0.0344862769105194</v>
      </c>
      <c r="E272" s="20" t="n">
        <f aca="false">IF(B272=B271,(1+E271)*(1+IF(D272="",0,D272))-1,0)</f>
        <v>-0.0987619047619042</v>
      </c>
      <c r="F272" s="21" t="n">
        <f aca="false">IF(B272=B271,MAX(F271,C272),C272)</f>
        <v>112.73</v>
      </c>
      <c r="G272" s="20" t="n">
        <f aca="false">(C272-F272)/F272</f>
        <v>-0.160560631597623</v>
      </c>
      <c r="H272" s="21" t="n">
        <f aca="true">IF(COUNTIFS($B$2:B272,B272)&gt;=20,AVERAGE(OFFSET(C272,-19,0,20,1)),"")</f>
        <v>101.1805</v>
      </c>
      <c r="I272" s="21" t="str">
        <f aca="true">IF(COUNTIFS($B$2:B272,B272)&gt;=50,AVERAGE(OFFSET(C272,-49,0,50,1)),"")</f>
        <v/>
      </c>
    </row>
    <row r="273" customFormat="false" ht="15" hidden="false" customHeight="false" outlineLevel="0" collapsed="false">
      <c r="A273" s="17" t="n">
        <f aca="false">Cours_Bruts!A273</f>
        <v>45762</v>
      </c>
      <c r="B273" s="18" t="str">
        <f aca="false">Cours_Bruts!B273</f>
        <v>XOM</v>
      </c>
      <c r="C273" s="19" t="n">
        <f aca="false">Cours_Bruts!C273</f>
        <v>95.68</v>
      </c>
      <c r="D273" s="20" t="n">
        <f aca="false">IF(B273=B272,(C273-C272)/C272,"")</f>
        <v>0.0110958469829865</v>
      </c>
      <c r="E273" s="20" t="n">
        <f aca="false">IF(B273=B272,(1+E272)*(1+IF(D273="",0,D273))-1,0)</f>
        <v>-0.088761904761904</v>
      </c>
      <c r="F273" s="21" t="n">
        <f aca="false">IF(B273=B272,MAX(F272,C273),C273)</f>
        <v>112.73</v>
      </c>
      <c r="G273" s="20" t="n">
        <f aca="false">(C273-F273)/F273</f>
        <v>-0.151246340814335</v>
      </c>
      <c r="H273" s="21" t="n">
        <f aca="true">IF(COUNTIFS($B$2:B273,B273)&gt;=20,AVERAGE(OFFSET(C273,-19,0,20,1)),"")</f>
        <v>100.6945</v>
      </c>
      <c r="I273" s="21" t="str">
        <f aca="true">IF(COUNTIFS($B$2:B273,B273)&gt;=50,AVERAGE(OFFSET(C273,-49,0,50,1)),"")</f>
        <v/>
      </c>
    </row>
    <row r="274" customFormat="false" ht="15" hidden="false" customHeight="false" outlineLevel="0" collapsed="false">
      <c r="A274" s="17" t="n">
        <f aca="false">Cours_Bruts!A274</f>
        <v>45763</v>
      </c>
      <c r="B274" s="18" t="str">
        <f aca="false">Cours_Bruts!B274</f>
        <v>XOM</v>
      </c>
      <c r="C274" s="19" t="n">
        <f aca="false">Cours_Bruts!C274</f>
        <v>95.41</v>
      </c>
      <c r="D274" s="20" t="n">
        <f aca="false">IF(B274=B273,(C274-C273)/C273,"")</f>
        <v>-0.00282190635451516</v>
      </c>
      <c r="E274" s="20" t="n">
        <f aca="false">IF(B274=B273,(1+E273)*(1+IF(D274="",0,D274))-1,0)</f>
        <v>-0.0913333333333327</v>
      </c>
      <c r="F274" s="21" t="n">
        <f aca="false">IF(B274=B273,MAX(F273,C274),C274)</f>
        <v>112.73</v>
      </c>
      <c r="G274" s="20" t="n">
        <f aca="false">(C274-F274)/F274</f>
        <v>-0.153641444158609</v>
      </c>
      <c r="H274" s="21" t="n">
        <f aca="true">IF(COUNTIFS($B$2:B274,B274)&gt;=20,AVERAGE(OFFSET(C274,-19,0,20,1)),"")</f>
        <v>100.292</v>
      </c>
      <c r="I274" s="21" t="str">
        <f aca="true">IF(COUNTIFS($B$2:B274,B274)&gt;=50,AVERAGE(OFFSET(C274,-49,0,50,1)),"")</f>
        <v/>
      </c>
    </row>
    <row r="275" customFormat="false" ht="15" hidden="false" customHeight="false" outlineLevel="0" collapsed="false">
      <c r="A275" s="17" t="n">
        <f aca="false">Cours_Bruts!A275</f>
        <v>45764</v>
      </c>
      <c r="B275" s="18" t="str">
        <f aca="false">Cours_Bruts!B275</f>
        <v>XOM</v>
      </c>
      <c r="C275" s="19" t="n">
        <f aca="false">Cours_Bruts!C275</f>
        <v>95.92</v>
      </c>
      <c r="D275" s="20" t="n">
        <f aca="false">IF(B275=B274,(C275-C274)/C274,"")</f>
        <v>0.00534535164028933</v>
      </c>
      <c r="E275" s="20" t="n">
        <f aca="false">IF(B275=B274,(1+E274)*(1+IF(D275="",0,D275))-1,0)</f>
        <v>-0.0864761904761898</v>
      </c>
      <c r="F275" s="21" t="n">
        <f aca="false">IF(B275=B274,MAX(F274,C275),C275)</f>
        <v>112.73</v>
      </c>
      <c r="G275" s="20" t="n">
        <f aca="false">(C275-F275)/F275</f>
        <v>-0.149117360063869</v>
      </c>
      <c r="H275" s="21" t="n">
        <f aca="true">IF(COUNTIFS($B$2:B275,B275)&gt;=20,AVERAGE(OFFSET(C275,-19,0,20,1)),"")</f>
        <v>99.8355</v>
      </c>
      <c r="I275" s="21" t="str">
        <f aca="true">IF(COUNTIFS($B$2:B275,B275)&gt;=50,AVERAGE(OFFSET(C275,-49,0,50,1)),"")</f>
        <v/>
      </c>
    </row>
    <row r="276" customFormat="false" ht="15" hidden="false" customHeight="false" outlineLevel="0" collapsed="false">
      <c r="A276" s="17" t="n">
        <f aca="false">Cours_Bruts!A276</f>
        <v>45765</v>
      </c>
      <c r="B276" s="18" t="str">
        <f aca="false">Cours_Bruts!B276</f>
        <v>XOM</v>
      </c>
      <c r="C276" s="19" t="n">
        <f aca="false">Cours_Bruts!C276</f>
        <v>95.11</v>
      </c>
      <c r="D276" s="20" t="n">
        <f aca="false">IF(B276=B275,(C276-C275)/C275,"")</f>
        <v>-0.00844453711426191</v>
      </c>
      <c r="E276" s="20" t="n">
        <f aca="false">IF(B276=B275,(1+E275)*(1+IF(D276="",0,D276))-1,0)</f>
        <v>-0.0941904761904756</v>
      </c>
      <c r="F276" s="21" t="n">
        <f aca="false">IF(B276=B275,MAX(F275,C276),C276)</f>
        <v>112.73</v>
      </c>
      <c r="G276" s="20" t="n">
        <f aca="false">(C276-F276)/F276</f>
        <v>-0.156302670096691</v>
      </c>
      <c r="H276" s="21" t="n">
        <f aca="true">IF(COUNTIFS($B$2:B276,B276)&gt;=20,AVERAGE(OFFSET(C276,-19,0,20,1)),"")</f>
        <v>99.4075</v>
      </c>
      <c r="I276" s="21" t="str">
        <f aca="true">IF(COUNTIFS($B$2:B276,B276)&gt;=50,AVERAGE(OFFSET(C276,-49,0,50,1)),"")</f>
        <v/>
      </c>
    </row>
    <row r="277" customFormat="false" ht="15" hidden="false" customHeight="false" outlineLevel="0" collapsed="false">
      <c r="A277" s="17" t="n">
        <f aca="false">Cours_Bruts!A277</f>
        <v>45768</v>
      </c>
      <c r="B277" s="18" t="str">
        <f aca="false">Cours_Bruts!B277</f>
        <v>XOM</v>
      </c>
      <c r="C277" s="19" t="n">
        <f aca="false">Cours_Bruts!C277</f>
        <v>95.5</v>
      </c>
      <c r="D277" s="20" t="n">
        <f aca="false">IF(B277=B276,(C277-C276)/C276,"")</f>
        <v>0.0041005151929345</v>
      </c>
      <c r="E277" s="20" t="n">
        <f aca="false">IF(B277=B276,(1+E276)*(1+IF(D277="",0,D277))-1,0)</f>
        <v>-0.0904761904761898</v>
      </c>
      <c r="F277" s="21" t="n">
        <f aca="false">IF(B277=B276,MAX(F276,C277),C277)</f>
        <v>112.73</v>
      </c>
      <c r="G277" s="20" t="n">
        <f aca="false">(C277-F277)/F277</f>
        <v>-0.152843076377184</v>
      </c>
      <c r="H277" s="21" t="n">
        <f aca="true">IF(COUNTIFS($B$2:B277,B277)&gt;=20,AVERAGE(OFFSET(C277,-19,0,20,1)),"")</f>
        <v>99.1755</v>
      </c>
      <c r="I277" s="21" t="str">
        <f aca="true">IF(COUNTIFS($B$2:B277,B277)&gt;=50,AVERAGE(OFFSET(C277,-49,0,50,1)),"")</f>
        <v/>
      </c>
    </row>
    <row r="278" customFormat="false" ht="15" hidden="false" customHeight="false" outlineLevel="0" collapsed="false">
      <c r="A278" s="17" t="n">
        <f aca="false">Cours_Bruts!A278</f>
        <v>45769</v>
      </c>
      <c r="B278" s="18" t="str">
        <f aca="false">Cours_Bruts!B278</f>
        <v>XOM</v>
      </c>
      <c r="C278" s="19" t="n">
        <f aca="false">Cours_Bruts!C278</f>
        <v>94.69</v>
      </c>
      <c r="D278" s="20" t="n">
        <f aca="false">IF(B278=B277,(C278-C277)/C277,"")</f>
        <v>-0.00848167539267018</v>
      </c>
      <c r="E278" s="20" t="n">
        <f aca="false">IF(B278=B277,(1+E277)*(1+IF(D278="",0,D278))-1,0)</f>
        <v>-0.0981904761904756</v>
      </c>
      <c r="F278" s="21" t="n">
        <f aca="false">IF(B278=B277,MAX(F277,C278),C278)</f>
        <v>112.73</v>
      </c>
      <c r="G278" s="20" t="n">
        <f aca="false">(C278-F278)/F278</f>
        <v>-0.160028386410006</v>
      </c>
      <c r="H278" s="21" t="n">
        <f aca="true">IF(COUNTIFS($B$2:B278,B278)&gt;=20,AVERAGE(OFFSET(C278,-19,0,20,1)),"")</f>
        <v>98.955</v>
      </c>
      <c r="I278" s="21" t="str">
        <f aca="true">IF(COUNTIFS($B$2:B278,B278)&gt;=50,AVERAGE(OFFSET(C278,-49,0,50,1)),"")</f>
        <v/>
      </c>
    </row>
    <row r="279" customFormat="false" ht="15" hidden="false" customHeight="false" outlineLevel="0" collapsed="false">
      <c r="A279" s="17" t="n">
        <f aca="false">Cours_Bruts!A279</f>
        <v>45770</v>
      </c>
      <c r="B279" s="18" t="str">
        <f aca="false">Cours_Bruts!B279</f>
        <v>XOM</v>
      </c>
      <c r="C279" s="19" t="n">
        <f aca="false">Cours_Bruts!C279</f>
        <v>93.74</v>
      </c>
      <c r="D279" s="20" t="n">
        <f aca="false">IF(B279=B278,(C279-C278)/C278,"")</f>
        <v>-0.010032738409547</v>
      </c>
      <c r="E279" s="20" t="n">
        <f aca="false">IF(B279=B278,(1+E278)*(1+IF(D279="",0,D279))-1,0)</f>
        <v>-0.107238095238095</v>
      </c>
      <c r="F279" s="21" t="n">
        <f aca="false">IF(B279=B278,MAX(F278,C279),C279)</f>
        <v>112.73</v>
      </c>
      <c r="G279" s="20" t="n">
        <f aca="false">(C279-F279)/F279</f>
        <v>-0.1684556018806</v>
      </c>
      <c r="H279" s="21" t="n">
        <f aca="true">IF(COUNTIFS($B$2:B279,B279)&gt;=20,AVERAGE(OFFSET(C279,-19,0,20,1)),"")</f>
        <v>98.821</v>
      </c>
      <c r="I279" s="21" t="str">
        <f aca="true">IF(COUNTIFS($B$2:B279,B279)&gt;=50,AVERAGE(OFFSET(C279,-49,0,50,1)),"")</f>
        <v/>
      </c>
    </row>
    <row r="280" customFormat="false" ht="15" hidden="false" customHeight="false" outlineLevel="0" collapsed="false">
      <c r="A280" s="17" t="n">
        <f aca="false">Cours_Bruts!A280</f>
        <v>45771</v>
      </c>
      <c r="B280" s="18" t="str">
        <f aca="false">Cours_Bruts!B280</f>
        <v>XOM</v>
      </c>
      <c r="C280" s="19" t="n">
        <f aca="false">Cours_Bruts!C280</f>
        <v>92.22</v>
      </c>
      <c r="D280" s="20" t="n">
        <f aca="false">IF(B280=B279,(C280-C279)/C279,"")</f>
        <v>-0.0162150629400469</v>
      </c>
      <c r="E280" s="20" t="n">
        <f aca="false">IF(B280=B279,(1+E279)*(1+IF(D280="",0,D280))-1,0)</f>
        <v>-0.121714285714285</v>
      </c>
      <c r="F280" s="21" t="n">
        <f aca="false">IF(B280=B279,MAX(F279,C280),C280)</f>
        <v>112.73</v>
      </c>
      <c r="G280" s="20" t="n">
        <f aca="false">(C280-F280)/F280</f>
        <v>-0.181939146633549</v>
      </c>
      <c r="H280" s="21" t="n">
        <f aca="true">IF(COUNTIFS($B$2:B280,B280)&gt;=20,AVERAGE(OFFSET(C280,-19,0,20,1)),"")</f>
        <v>98.4705</v>
      </c>
      <c r="I280" s="21" t="str">
        <f aca="true">IF(COUNTIFS($B$2:B280,B280)&gt;=50,AVERAGE(OFFSET(C280,-49,0,50,1)),"")</f>
        <v/>
      </c>
    </row>
    <row r="281" customFormat="false" ht="15" hidden="false" customHeight="false" outlineLevel="0" collapsed="false">
      <c r="A281" s="17" t="n">
        <f aca="false">Cours_Bruts!A281</f>
        <v>45772</v>
      </c>
      <c r="B281" s="18" t="str">
        <f aca="false">Cours_Bruts!B281</f>
        <v>XOM</v>
      </c>
      <c r="C281" s="19" t="n">
        <f aca="false">Cours_Bruts!C281</f>
        <v>94.81</v>
      </c>
      <c r="D281" s="20" t="n">
        <f aca="false">IF(B281=B280,(C281-C280)/C280,"")</f>
        <v>0.0280850140967253</v>
      </c>
      <c r="E281" s="20" t="n">
        <f aca="false">IF(B281=B280,(1+E280)*(1+IF(D281="",0,D281))-1,0)</f>
        <v>-0.0970476190476185</v>
      </c>
      <c r="F281" s="21" t="n">
        <f aca="false">IF(B281=B280,MAX(F280,C281),C281)</f>
        <v>112.73</v>
      </c>
      <c r="G281" s="20" t="n">
        <f aca="false">(C281-F281)/F281</f>
        <v>-0.158963896034773</v>
      </c>
      <c r="H281" s="21" t="n">
        <f aca="true">IF(COUNTIFS($B$2:B281,B281)&gt;=20,AVERAGE(OFFSET(C281,-19,0,20,1)),"")</f>
        <v>98.206</v>
      </c>
      <c r="I281" s="21" t="str">
        <f aca="true">IF(COUNTIFS($B$2:B281,B281)&gt;=50,AVERAGE(OFFSET(C281,-49,0,50,1)),"")</f>
        <v/>
      </c>
    </row>
    <row r="282" customFormat="false" ht="15" hidden="false" customHeight="false" outlineLevel="0" collapsed="false">
      <c r="A282" s="17" t="n">
        <f aca="false">Cours_Bruts!A282</f>
        <v>45775</v>
      </c>
      <c r="B282" s="18" t="str">
        <f aca="false">Cours_Bruts!B282</f>
        <v>XOM</v>
      </c>
      <c r="C282" s="19" t="n">
        <f aca="false">Cours_Bruts!C282</f>
        <v>95.46</v>
      </c>
      <c r="D282" s="20" t="n">
        <f aca="false">IF(B282=B281,(C282-C281)/C281,"")</f>
        <v>0.00685581689695171</v>
      </c>
      <c r="E282" s="20" t="n">
        <f aca="false">IF(B282=B281,(1+E281)*(1+IF(D282="",0,D282))-1,0)</f>
        <v>-0.0908571428571424</v>
      </c>
      <c r="F282" s="21" t="n">
        <f aca="false">IF(B282=B281,MAX(F281,C282),C282)</f>
        <v>112.73</v>
      </c>
      <c r="G282" s="20" t="n">
        <f aca="false">(C282-F282)/F282</f>
        <v>-0.153197906502262</v>
      </c>
      <c r="H282" s="21" t="n">
        <f aca="true">IF(COUNTIFS($B$2:B282,B282)&gt;=20,AVERAGE(OFFSET(C282,-19,0,20,1)),"")</f>
        <v>97.914</v>
      </c>
      <c r="I282" s="21" t="str">
        <f aca="true">IF(COUNTIFS($B$2:B282,B282)&gt;=50,AVERAGE(OFFSET(C282,-49,0,50,1)),"")</f>
        <v/>
      </c>
    </row>
    <row r="283" customFormat="false" ht="15" hidden="false" customHeight="false" outlineLevel="0" collapsed="false">
      <c r="A283" s="17" t="n">
        <f aca="false">Cours_Bruts!A283</f>
        <v>45776</v>
      </c>
      <c r="B283" s="18" t="str">
        <f aca="false">Cours_Bruts!B283</f>
        <v>XOM</v>
      </c>
      <c r="C283" s="19" t="n">
        <f aca="false">Cours_Bruts!C283</f>
        <v>95.84</v>
      </c>
      <c r="D283" s="20" t="n">
        <f aca="false">IF(B283=B282,(C283-C282)/C282,"")</f>
        <v>0.00398072491095757</v>
      </c>
      <c r="E283" s="20" t="n">
        <f aca="false">IF(B283=B282,(1+E282)*(1+IF(D283="",0,D283))-1,0)</f>
        <v>-0.0872380952380947</v>
      </c>
      <c r="F283" s="21" t="n">
        <f aca="false">IF(B283=B282,MAX(F282,C283),C283)</f>
        <v>112.73</v>
      </c>
      <c r="G283" s="20" t="n">
        <f aca="false">(C283-F283)/F283</f>
        <v>-0.149827020314025</v>
      </c>
      <c r="H283" s="21" t="n">
        <f aca="true">IF(COUNTIFS($B$2:B283,B283)&gt;=20,AVERAGE(OFFSET(C283,-19,0,20,1)),"")</f>
        <v>97.5905</v>
      </c>
      <c r="I283" s="21" t="str">
        <f aca="true">IF(COUNTIFS($B$2:B283,B283)&gt;=50,AVERAGE(OFFSET(C283,-49,0,50,1)),"")</f>
        <v/>
      </c>
    </row>
    <row r="284" customFormat="false" ht="15" hidden="false" customHeight="false" outlineLevel="0" collapsed="false">
      <c r="A284" s="17" t="n">
        <f aca="false">Cours_Bruts!A284</f>
        <v>45777</v>
      </c>
      <c r="B284" s="18" t="str">
        <f aca="false">Cours_Bruts!B284</f>
        <v>XOM</v>
      </c>
      <c r="C284" s="19" t="n">
        <f aca="false">Cours_Bruts!C284</f>
        <v>94.32</v>
      </c>
      <c r="D284" s="20" t="n">
        <f aca="false">IF(B284=B283,(C284-C283)/C283,"")</f>
        <v>-0.0158597662771287</v>
      </c>
      <c r="E284" s="20" t="n">
        <f aca="false">IF(B284=B283,(1+E283)*(1+IF(D284="",0,D284))-1,0)</f>
        <v>-0.101714285714285</v>
      </c>
      <c r="F284" s="21" t="n">
        <f aca="false">IF(B284=B283,MAX(F283,C284),C284)</f>
        <v>112.73</v>
      </c>
      <c r="G284" s="20" t="n">
        <f aca="false">(C284-F284)/F284</f>
        <v>-0.163310565066974</v>
      </c>
      <c r="H284" s="21" t="n">
        <f aca="true">IF(COUNTIFS($B$2:B284,B284)&gt;=20,AVERAGE(OFFSET(C284,-19,0,20,1)),"")</f>
        <v>97.1115</v>
      </c>
      <c r="I284" s="21" t="str">
        <f aca="true">IF(COUNTIFS($B$2:B284,B284)&gt;=50,AVERAGE(OFFSET(C284,-49,0,50,1)),"")</f>
        <v/>
      </c>
    </row>
    <row r="285" customFormat="false" ht="15" hidden="false" customHeight="false" outlineLevel="0" collapsed="false">
      <c r="A285" s="17" t="n">
        <f aca="false">Cours_Bruts!A285</f>
        <v>45778</v>
      </c>
      <c r="B285" s="18" t="str">
        <f aca="false">Cours_Bruts!B285</f>
        <v>XOM</v>
      </c>
      <c r="C285" s="19" t="n">
        <f aca="false">Cours_Bruts!C285</f>
        <v>93.93</v>
      </c>
      <c r="D285" s="20" t="n">
        <f aca="false">IF(B285=B284,(C285-C284)/C284,"")</f>
        <v>-0.00413486005089044</v>
      </c>
      <c r="E285" s="20" t="n">
        <f aca="false">IF(B285=B284,(1+E284)*(1+IF(D285="",0,D285))-1,0)</f>
        <v>-0.105428571428571</v>
      </c>
      <c r="F285" s="21" t="n">
        <f aca="false">IF(B285=B284,MAX(F284,C285),C285)</f>
        <v>112.73</v>
      </c>
      <c r="G285" s="20" t="n">
        <f aca="false">(C285-F285)/F285</f>
        <v>-0.166770158786481</v>
      </c>
      <c r="H285" s="21" t="n">
        <f aca="true">IF(COUNTIFS($B$2:B285,B285)&gt;=20,AVERAGE(OFFSET(C285,-19,0,20,1)),"")</f>
        <v>96.5045</v>
      </c>
      <c r="I285" s="21" t="str">
        <f aca="true">IF(COUNTIFS($B$2:B285,B285)&gt;=50,AVERAGE(OFFSET(C285,-49,0,50,1)),"")</f>
        <v/>
      </c>
    </row>
    <row r="286" customFormat="false" ht="15" hidden="false" customHeight="false" outlineLevel="0" collapsed="false">
      <c r="A286" s="17" t="n">
        <f aca="false">Cours_Bruts!A286</f>
        <v>45779</v>
      </c>
      <c r="B286" s="18" t="str">
        <f aca="false">Cours_Bruts!B286</f>
        <v>XOM</v>
      </c>
      <c r="C286" s="19" t="n">
        <f aca="false">Cours_Bruts!C286</f>
        <v>92.25</v>
      </c>
      <c r="D286" s="20" t="n">
        <f aca="false">IF(B286=B285,(C286-C285)/C285,"")</f>
        <v>-0.0178856595336954</v>
      </c>
      <c r="E286" s="20" t="n">
        <f aca="false">IF(B286=B285,(1+E285)*(1+IF(D286="",0,D286))-1,0)</f>
        <v>-0.121428571428571</v>
      </c>
      <c r="F286" s="21" t="n">
        <f aca="false">IF(B286=B285,MAX(F285,C286),C286)</f>
        <v>112.73</v>
      </c>
      <c r="G286" s="20" t="n">
        <f aca="false">(C286-F286)/F286</f>
        <v>-0.181673024039741</v>
      </c>
      <c r="H286" s="21" t="n">
        <f aca="true">IF(COUNTIFS($B$2:B286,B286)&gt;=20,AVERAGE(OFFSET(C286,-19,0,20,1)),"")</f>
        <v>95.865</v>
      </c>
      <c r="I286" s="21" t="str">
        <f aca="true">IF(COUNTIFS($B$2:B286,B286)&gt;=50,AVERAGE(OFFSET(C286,-49,0,50,1)),"")</f>
        <v/>
      </c>
    </row>
    <row r="287" customFormat="false" ht="15" hidden="false" customHeight="false" outlineLevel="0" collapsed="false">
      <c r="A287" s="17" t="n">
        <f aca="false">Cours_Bruts!A287</f>
        <v>45782</v>
      </c>
      <c r="B287" s="18" t="str">
        <f aca="false">Cours_Bruts!B287</f>
        <v>XOM</v>
      </c>
      <c r="C287" s="19" t="n">
        <f aca="false">Cours_Bruts!C287</f>
        <v>91.44</v>
      </c>
      <c r="D287" s="20" t="n">
        <f aca="false">IF(B287=B286,(C287-C286)/C286,"")</f>
        <v>-0.00878048780487807</v>
      </c>
      <c r="E287" s="20" t="n">
        <f aca="false">IF(B287=B286,(1+E286)*(1+IF(D287="",0,D287))-1,0)</f>
        <v>-0.129142857142857</v>
      </c>
      <c r="F287" s="21" t="n">
        <f aca="false">IF(B287=B286,MAX(F286,C287),C287)</f>
        <v>112.73</v>
      </c>
      <c r="G287" s="20" t="n">
        <f aca="false">(C287-F287)/F287</f>
        <v>-0.188858334072563</v>
      </c>
      <c r="H287" s="21" t="n">
        <f aca="true">IF(COUNTIFS($B$2:B287,B287)&gt;=20,AVERAGE(OFFSET(C287,-19,0,20,1)),"")</f>
        <v>95.3205</v>
      </c>
      <c r="I287" s="21" t="str">
        <f aca="true">IF(COUNTIFS($B$2:B287,B287)&gt;=50,AVERAGE(OFFSET(C287,-49,0,50,1)),"")</f>
        <v/>
      </c>
    </row>
    <row r="288" customFormat="false" ht="15" hidden="false" customHeight="false" outlineLevel="0" collapsed="false">
      <c r="A288" s="17" t="n">
        <f aca="false">Cours_Bruts!A288</f>
        <v>45783</v>
      </c>
      <c r="B288" s="18" t="str">
        <f aca="false">Cours_Bruts!B288</f>
        <v>XOM</v>
      </c>
      <c r="C288" s="19" t="n">
        <f aca="false">Cours_Bruts!C288</f>
        <v>89.43</v>
      </c>
      <c r="D288" s="20" t="n">
        <f aca="false">IF(B288=B287,(C288-C287)/C287,"")</f>
        <v>-0.0219816272965878</v>
      </c>
      <c r="E288" s="20" t="n">
        <f aca="false">IF(B288=B287,(1+E287)*(1+IF(D288="",0,D288))-1,0)</f>
        <v>-0.148285714285714</v>
      </c>
      <c r="F288" s="21" t="n">
        <f aca="false">IF(B288=B287,MAX(F287,C288),C288)</f>
        <v>112.73</v>
      </c>
      <c r="G288" s="20" t="n">
        <f aca="false">(C288-F288)/F288</f>
        <v>-0.206688547857713</v>
      </c>
      <c r="H288" s="21" t="n">
        <f aca="true">IF(COUNTIFS($B$2:B288,B288)&gt;=20,AVERAGE(OFFSET(C288,-19,0,20,1)),"")</f>
        <v>94.754</v>
      </c>
      <c r="I288" s="21" t="str">
        <f aca="true">IF(COUNTIFS($B$2:B288,B288)&gt;=50,AVERAGE(OFFSET(C288,-49,0,50,1)),"")</f>
        <v/>
      </c>
    </row>
    <row r="289" customFormat="false" ht="15" hidden="false" customHeight="false" outlineLevel="0" collapsed="false">
      <c r="A289" s="17" t="n">
        <f aca="false">Cours_Bruts!A289</f>
        <v>45784</v>
      </c>
      <c r="B289" s="18" t="str">
        <f aca="false">Cours_Bruts!B289</f>
        <v>XOM</v>
      </c>
      <c r="C289" s="19" t="n">
        <f aca="false">Cours_Bruts!C289</f>
        <v>92.04</v>
      </c>
      <c r="D289" s="20" t="n">
        <f aca="false">IF(B289=B288,(C289-C288)/C288,"")</f>
        <v>0.0291848373029185</v>
      </c>
      <c r="E289" s="20" t="n">
        <f aca="false">IF(B289=B288,(1+E288)*(1+IF(D289="",0,D289))-1,0)</f>
        <v>-0.123428571428571</v>
      </c>
      <c r="F289" s="21" t="n">
        <f aca="false">IF(B289=B288,MAX(F288,C289),C289)</f>
        <v>112.73</v>
      </c>
      <c r="G289" s="20" t="n">
        <f aca="false">(C289-F289)/F289</f>
        <v>-0.183535882196398</v>
      </c>
      <c r="H289" s="21" t="n">
        <f aca="true">IF(COUNTIFS($B$2:B289,B289)&gt;=20,AVERAGE(OFFSET(C289,-19,0,20,1)),"")</f>
        <v>94.321</v>
      </c>
      <c r="I289" s="21" t="str">
        <f aca="true">IF(COUNTIFS($B$2:B289,B289)&gt;=50,AVERAGE(OFFSET(C289,-49,0,50,1)),"")</f>
        <v/>
      </c>
    </row>
    <row r="290" customFormat="false" ht="15" hidden="false" customHeight="false" outlineLevel="0" collapsed="false">
      <c r="A290" s="17" t="n">
        <f aca="false">Cours_Bruts!A290</f>
        <v>45785</v>
      </c>
      <c r="B290" s="18" t="str">
        <f aca="false">Cours_Bruts!B290</f>
        <v>XOM</v>
      </c>
      <c r="C290" s="19" t="n">
        <f aca="false">Cours_Bruts!C290</f>
        <v>90.79</v>
      </c>
      <c r="D290" s="20" t="n">
        <f aca="false">IF(B290=B289,(C290-C289)/C289,"")</f>
        <v>-0.0135810517166449</v>
      </c>
      <c r="E290" s="20" t="n">
        <f aca="false">IF(B290=B289,(1+E289)*(1+IF(D290="",0,D290))-1,0)</f>
        <v>-0.135333333333333</v>
      </c>
      <c r="F290" s="21" t="n">
        <f aca="false">IF(B290=B289,MAX(F289,C290),C290)</f>
        <v>112.73</v>
      </c>
      <c r="G290" s="20" t="n">
        <f aca="false">(C290-F290)/F290</f>
        <v>-0.194624323605074</v>
      </c>
      <c r="H290" s="21" t="n">
        <f aca="true">IF(COUNTIFS($B$2:B290,B290)&gt;=20,AVERAGE(OFFSET(C290,-19,0,20,1)),"")</f>
        <v>94.061</v>
      </c>
      <c r="I290" s="21" t="str">
        <f aca="true">IF(COUNTIFS($B$2:B290,B290)&gt;=50,AVERAGE(OFFSET(C290,-49,0,50,1)),"")</f>
        <v/>
      </c>
    </row>
    <row r="291" customFormat="false" ht="15" hidden="false" customHeight="false" outlineLevel="0" collapsed="false">
      <c r="A291" s="17" t="n">
        <f aca="false">Cours_Bruts!A291</f>
        <v>45786</v>
      </c>
      <c r="B291" s="18" t="str">
        <f aca="false">Cours_Bruts!B291</f>
        <v>XOM</v>
      </c>
      <c r="C291" s="19" t="n">
        <f aca="false">Cours_Bruts!C291</f>
        <v>89.35</v>
      </c>
      <c r="D291" s="20" t="n">
        <f aca="false">IF(B291=B290,(C291-C290)/C290,"")</f>
        <v>-0.0158607776186806</v>
      </c>
      <c r="E291" s="20" t="n">
        <f aca="false">IF(B291=B290,(1+E290)*(1+IF(D291="",0,D291))-1,0)</f>
        <v>-0.149047619047619</v>
      </c>
      <c r="F291" s="21" t="n">
        <f aca="false">IF(B291=B290,MAX(F290,C291),C291)</f>
        <v>112.73</v>
      </c>
      <c r="G291" s="20" t="n">
        <f aca="false">(C291-F291)/F291</f>
        <v>-0.207398208107868</v>
      </c>
      <c r="H291" s="21" t="n">
        <f aca="true">IF(COUNTIFS($B$2:B291,B291)&gt;=20,AVERAGE(OFFSET(C291,-19,0,20,1)),"")</f>
        <v>93.628</v>
      </c>
      <c r="I291" s="21" t="n">
        <f aca="true">IF(COUNTIFS($B$2:B291,B291)&gt;=50,AVERAGE(OFFSET(C291,-49,0,50,1)),"")</f>
        <v>99.7956</v>
      </c>
    </row>
    <row r="292" customFormat="false" ht="15" hidden="false" customHeight="false" outlineLevel="0" collapsed="false">
      <c r="A292" s="17" t="n">
        <f aca="false">Cours_Bruts!A292</f>
        <v>45789</v>
      </c>
      <c r="B292" s="18" t="str">
        <f aca="false">Cours_Bruts!B292</f>
        <v>XOM</v>
      </c>
      <c r="C292" s="19" t="n">
        <f aca="false">Cours_Bruts!C292</f>
        <v>87.2</v>
      </c>
      <c r="D292" s="20" t="n">
        <f aca="false">IF(B292=B291,(C292-C291)/C291,"")</f>
        <v>-0.0240626748740906</v>
      </c>
      <c r="E292" s="20" t="n">
        <f aca="false">IF(B292=B291,(1+E291)*(1+IF(D292="",0,D292))-1,0)</f>
        <v>-0.169523809523809</v>
      </c>
      <c r="F292" s="21" t="n">
        <f aca="false">IF(B292=B291,MAX(F291,C292),C292)</f>
        <v>112.73</v>
      </c>
      <c r="G292" s="20" t="n">
        <f aca="false">(C292-F292)/F292</f>
        <v>-0.22647032733079</v>
      </c>
      <c r="H292" s="21" t="n">
        <f aca="true">IF(COUNTIFS($B$2:B292,B292)&gt;=20,AVERAGE(OFFSET(C292,-19,0,20,1)),"")</f>
        <v>93.2565</v>
      </c>
      <c r="I292" s="21" t="n">
        <f aca="true">IF(COUNTIFS($B$2:B292,B292)&gt;=50,AVERAGE(OFFSET(C292,-49,0,50,1)),"")</f>
        <v>99.4396</v>
      </c>
    </row>
    <row r="293" customFormat="false" ht="15" hidden="false" customHeight="false" outlineLevel="0" collapsed="false">
      <c r="A293" s="17" t="n">
        <f aca="false">Cours_Bruts!A293</f>
        <v>45790</v>
      </c>
      <c r="B293" s="18" t="str">
        <f aca="false">Cours_Bruts!B293</f>
        <v>XOM</v>
      </c>
      <c r="C293" s="19" t="n">
        <f aca="false">Cours_Bruts!C293</f>
        <v>85.98</v>
      </c>
      <c r="D293" s="20" t="n">
        <f aca="false">IF(B293=B292,(C293-C292)/C292,"")</f>
        <v>-0.0139908256880734</v>
      </c>
      <c r="E293" s="20" t="n">
        <f aca="false">IF(B293=B292,(1+E292)*(1+IF(D293="",0,D293))-1,0)</f>
        <v>-0.181142857142857</v>
      </c>
      <c r="F293" s="21" t="n">
        <f aca="false">IF(B293=B292,MAX(F292,C293),C293)</f>
        <v>112.73</v>
      </c>
      <c r="G293" s="20" t="n">
        <f aca="false">(C293-F293)/F293</f>
        <v>-0.237292646145658</v>
      </c>
      <c r="H293" s="21" t="n">
        <f aca="true">IF(COUNTIFS($B$2:B293,B293)&gt;=20,AVERAGE(OFFSET(C293,-19,0,20,1)),"")</f>
        <v>92.7715</v>
      </c>
      <c r="I293" s="21" t="n">
        <f aca="true">IF(COUNTIFS($B$2:B293,B293)&gt;=50,AVERAGE(OFFSET(C293,-49,0,50,1)),"")</f>
        <v>99.0558</v>
      </c>
    </row>
    <row r="294" customFormat="false" ht="15" hidden="false" customHeight="false" outlineLevel="0" collapsed="false">
      <c r="A294" s="17" t="n">
        <f aca="false">Cours_Bruts!A294</f>
        <v>45791</v>
      </c>
      <c r="B294" s="18" t="str">
        <f aca="false">Cours_Bruts!B294</f>
        <v>XOM</v>
      </c>
      <c r="C294" s="19" t="n">
        <f aca="false">Cours_Bruts!C294</f>
        <v>85.22</v>
      </c>
      <c r="D294" s="20" t="n">
        <f aca="false">IF(B294=B293,(C294-C293)/C293,"")</f>
        <v>-0.00883926494533618</v>
      </c>
      <c r="E294" s="20" t="n">
        <f aca="false">IF(B294=B293,(1+E293)*(1+IF(D294="",0,D294))-1,0)</f>
        <v>-0.188380952380952</v>
      </c>
      <c r="F294" s="21" t="n">
        <f aca="false">IF(B294=B293,MAX(F293,C294),C294)</f>
        <v>112.73</v>
      </c>
      <c r="G294" s="20" t="n">
        <f aca="false">(C294-F294)/F294</f>
        <v>-0.244034418522133</v>
      </c>
      <c r="H294" s="21" t="n">
        <f aca="true">IF(COUNTIFS($B$2:B294,B294)&gt;=20,AVERAGE(OFFSET(C294,-19,0,20,1)),"")</f>
        <v>92.262</v>
      </c>
      <c r="I294" s="21" t="n">
        <f aca="true">IF(COUNTIFS($B$2:B294,B294)&gt;=50,AVERAGE(OFFSET(C294,-49,0,50,1)),"")</f>
        <v>98.6158</v>
      </c>
    </row>
    <row r="295" customFormat="false" ht="15" hidden="false" customHeight="false" outlineLevel="0" collapsed="false">
      <c r="A295" s="17" t="n">
        <f aca="false">Cours_Bruts!A295</f>
        <v>45792</v>
      </c>
      <c r="B295" s="18" t="str">
        <f aca="false">Cours_Bruts!B295</f>
        <v>XOM</v>
      </c>
      <c r="C295" s="19" t="n">
        <f aca="false">Cours_Bruts!C295</f>
        <v>85.16</v>
      </c>
      <c r="D295" s="20" t="n">
        <f aca="false">IF(B295=B294,(C295-C294)/C294,"")</f>
        <v>-0.000704060079793502</v>
      </c>
      <c r="E295" s="20" t="n">
        <f aca="false">IF(B295=B294,(1+E294)*(1+IF(D295="",0,D295))-1,0)</f>
        <v>-0.188952380952381</v>
      </c>
      <c r="F295" s="21" t="n">
        <f aca="false">IF(B295=B294,MAX(F294,C295),C295)</f>
        <v>112.73</v>
      </c>
      <c r="G295" s="20" t="n">
        <f aca="false">(C295-F295)/F295</f>
        <v>-0.244566663709749</v>
      </c>
      <c r="H295" s="21" t="n">
        <f aca="true">IF(COUNTIFS($B$2:B295,B295)&gt;=20,AVERAGE(OFFSET(C295,-19,0,20,1)),"")</f>
        <v>91.724</v>
      </c>
      <c r="I295" s="21" t="n">
        <f aca="true">IF(COUNTIFS($B$2:B295,B295)&gt;=50,AVERAGE(OFFSET(C295,-49,0,50,1)),"")</f>
        <v>98.165</v>
      </c>
    </row>
    <row r="296" customFormat="false" ht="15" hidden="false" customHeight="false" outlineLevel="0" collapsed="false">
      <c r="A296" s="17" t="n">
        <f aca="false">Cours_Bruts!A296</f>
        <v>45793</v>
      </c>
      <c r="B296" s="18" t="str">
        <f aca="false">Cours_Bruts!B296</f>
        <v>XOM</v>
      </c>
      <c r="C296" s="19" t="n">
        <f aca="false">Cours_Bruts!C296</f>
        <v>84.17</v>
      </c>
      <c r="D296" s="20" t="n">
        <f aca="false">IF(B296=B295,(C296-C295)/C295,"")</f>
        <v>-0.0116251761390324</v>
      </c>
      <c r="E296" s="20" t="n">
        <f aca="false">IF(B296=B295,(1+E295)*(1+IF(D296="",0,D296))-1,0)</f>
        <v>-0.198380952380952</v>
      </c>
      <c r="F296" s="21" t="n">
        <f aca="false">IF(B296=B295,MAX(F295,C296),C296)</f>
        <v>112.73</v>
      </c>
      <c r="G296" s="20" t="n">
        <f aca="false">(C296-F296)/F296</f>
        <v>-0.25334870930542</v>
      </c>
      <c r="H296" s="21" t="n">
        <f aca="true">IF(COUNTIFS($B$2:B296,B296)&gt;=20,AVERAGE(OFFSET(C296,-19,0,20,1)),"")</f>
        <v>91.177</v>
      </c>
      <c r="I296" s="21" t="n">
        <f aca="true">IF(COUNTIFS($B$2:B296,B296)&gt;=50,AVERAGE(OFFSET(C296,-49,0,50,1)),"")</f>
        <v>97.7064</v>
      </c>
    </row>
    <row r="297" customFormat="false" ht="15" hidden="false" customHeight="false" outlineLevel="0" collapsed="false">
      <c r="A297" s="17" t="n">
        <f aca="false">Cours_Bruts!A297</f>
        <v>45796</v>
      </c>
      <c r="B297" s="18" t="str">
        <f aca="false">Cours_Bruts!B297</f>
        <v>XOM</v>
      </c>
      <c r="C297" s="19" t="n">
        <f aca="false">Cours_Bruts!C297</f>
        <v>81.72</v>
      </c>
      <c r="D297" s="20" t="n">
        <f aca="false">IF(B297=B296,(C297-C296)/C296,"")</f>
        <v>-0.0291077581085898</v>
      </c>
      <c r="E297" s="20" t="n">
        <f aca="false">IF(B297=B296,(1+E296)*(1+IF(D297="",0,D297))-1,0)</f>
        <v>-0.221714285714285</v>
      </c>
      <c r="F297" s="21" t="n">
        <f aca="false">IF(B297=B296,MAX(F296,C297),C297)</f>
        <v>112.73</v>
      </c>
      <c r="G297" s="20" t="n">
        <f aca="false">(C297-F297)/F297</f>
        <v>-0.275082054466424</v>
      </c>
      <c r="H297" s="21" t="n">
        <f aca="true">IF(COUNTIFS($B$2:B297,B297)&gt;=20,AVERAGE(OFFSET(C297,-19,0,20,1)),"")</f>
        <v>90.488</v>
      </c>
      <c r="I297" s="21" t="n">
        <f aca="true">IF(COUNTIFS($B$2:B297,B297)&gt;=50,AVERAGE(OFFSET(C297,-49,0,50,1)),"")</f>
        <v>97.1806</v>
      </c>
    </row>
    <row r="298" customFormat="false" ht="15" hidden="false" customHeight="false" outlineLevel="0" collapsed="false">
      <c r="A298" s="17" t="n">
        <f aca="false">Cours_Bruts!A298</f>
        <v>45797</v>
      </c>
      <c r="B298" s="18" t="str">
        <f aca="false">Cours_Bruts!B298</f>
        <v>XOM</v>
      </c>
      <c r="C298" s="19" t="n">
        <f aca="false">Cours_Bruts!C298</f>
        <v>79.47</v>
      </c>
      <c r="D298" s="20" t="n">
        <f aca="false">IF(B298=B297,(C298-C297)/C297,"")</f>
        <v>-0.0275330396475771</v>
      </c>
      <c r="E298" s="20" t="n">
        <f aca="false">IF(B298=B297,(1+E297)*(1+IF(D298="",0,D298))-1,0)</f>
        <v>-0.243142857142857</v>
      </c>
      <c r="F298" s="21" t="n">
        <f aca="false">IF(B298=B297,MAX(F297,C298),C298)</f>
        <v>112.73</v>
      </c>
      <c r="G298" s="20" t="n">
        <f aca="false">(C298-F298)/F298</f>
        <v>-0.29504124900204</v>
      </c>
      <c r="H298" s="21" t="n">
        <f aca="true">IF(COUNTIFS($B$2:B298,B298)&gt;=20,AVERAGE(OFFSET(C298,-19,0,20,1)),"")</f>
        <v>89.727</v>
      </c>
      <c r="I298" s="21" t="n">
        <f aca="true">IF(COUNTIFS($B$2:B298,B298)&gt;=50,AVERAGE(OFFSET(C298,-49,0,50,1)),"")</f>
        <v>96.602</v>
      </c>
    </row>
    <row r="299" customFormat="false" ht="15" hidden="false" customHeight="false" outlineLevel="0" collapsed="false">
      <c r="A299" s="17" t="n">
        <f aca="false">Cours_Bruts!A299</f>
        <v>45798</v>
      </c>
      <c r="B299" s="18" t="str">
        <f aca="false">Cours_Bruts!B299</f>
        <v>XOM</v>
      </c>
      <c r="C299" s="19" t="n">
        <f aca="false">Cours_Bruts!C299</f>
        <v>80.47</v>
      </c>
      <c r="D299" s="20" t="n">
        <f aca="false">IF(B299=B298,(C299-C298)/C298,"")</f>
        <v>0.0125833647917453</v>
      </c>
      <c r="E299" s="20" t="n">
        <f aca="false">IF(B299=B298,(1+E298)*(1+IF(D299="",0,D299))-1,0)</f>
        <v>-0.233619047619047</v>
      </c>
      <c r="F299" s="21" t="n">
        <f aca="false">IF(B299=B298,MAX(F298,C299),C299)</f>
        <v>112.73</v>
      </c>
      <c r="G299" s="20" t="n">
        <f aca="false">(C299-F299)/F299</f>
        <v>-0.2861704958751</v>
      </c>
      <c r="H299" s="21" t="n">
        <f aca="true">IF(COUNTIFS($B$2:B299,B299)&gt;=20,AVERAGE(OFFSET(C299,-19,0,20,1)),"")</f>
        <v>89.0635</v>
      </c>
      <c r="I299" s="21" t="n">
        <f aca="true">IF(COUNTIFS($B$2:B299,B299)&gt;=50,AVERAGE(OFFSET(C299,-49,0,50,1)),"")</f>
        <v>96.0104</v>
      </c>
    </row>
    <row r="300" customFormat="false" ht="15" hidden="false" customHeight="false" outlineLevel="0" collapsed="false">
      <c r="A300" s="17" t="n">
        <f aca="false">Cours_Bruts!A300</f>
        <v>45799</v>
      </c>
      <c r="B300" s="18" t="str">
        <f aca="false">Cours_Bruts!B300</f>
        <v>XOM</v>
      </c>
      <c r="C300" s="19" t="n">
        <f aca="false">Cours_Bruts!C300</f>
        <v>80.3</v>
      </c>
      <c r="D300" s="20" t="n">
        <f aca="false">IF(B300=B299,(C300-C299)/C299,"")</f>
        <v>-0.00211258854231393</v>
      </c>
      <c r="E300" s="20" t="n">
        <f aca="false">IF(B300=B299,(1+E299)*(1+IF(D300="",0,D300))-1,0)</f>
        <v>-0.235238095238095</v>
      </c>
      <c r="F300" s="21" t="n">
        <f aca="false">IF(B300=B299,MAX(F299,C300),C300)</f>
        <v>112.73</v>
      </c>
      <c r="G300" s="20" t="n">
        <f aca="false">(C300-F300)/F300</f>
        <v>-0.28767852390668</v>
      </c>
      <c r="H300" s="21" t="n">
        <f aca="true">IF(COUNTIFS($B$2:B300,B300)&gt;=20,AVERAGE(OFFSET(C300,-19,0,20,1)),"")</f>
        <v>88.4675</v>
      </c>
      <c r="I300" s="21" t="n">
        <f aca="true">IF(COUNTIFS($B$2:B300,B300)&gt;=50,AVERAGE(OFFSET(C300,-49,0,50,1)),"")</f>
        <v>95.3618</v>
      </c>
    </row>
    <row r="301" customFormat="false" ht="15" hidden="false" customHeight="false" outlineLevel="0" collapsed="false">
      <c r="A301" s="17" t="n">
        <f aca="false">Cours_Bruts!A301</f>
        <v>45800</v>
      </c>
      <c r="B301" s="18" t="str">
        <f aca="false">Cours_Bruts!B301</f>
        <v>XOM</v>
      </c>
      <c r="C301" s="19" t="n">
        <f aca="false">Cours_Bruts!C301</f>
        <v>81.27</v>
      </c>
      <c r="D301" s="20" t="n">
        <f aca="false">IF(B301=B300,(C301-C300)/C300,"")</f>
        <v>0.012079701120797</v>
      </c>
      <c r="E301" s="20" t="n">
        <f aca="false">IF(B301=B300,(1+E300)*(1+IF(D301="",0,D301))-1,0)</f>
        <v>-0.226</v>
      </c>
      <c r="F301" s="21" t="n">
        <f aca="false">IF(B301=B300,MAX(F300,C301),C301)</f>
        <v>112.73</v>
      </c>
      <c r="G301" s="20" t="n">
        <f aca="false">(C301-F301)/F301</f>
        <v>-0.279073893373548</v>
      </c>
      <c r="H301" s="21" t="n">
        <f aca="true">IF(COUNTIFS($B$2:B301,B301)&gt;=20,AVERAGE(OFFSET(C301,-19,0,20,1)),"")</f>
        <v>87.7905</v>
      </c>
      <c r="I301" s="21" t="n">
        <f aca="true">IF(COUNTIFS($B$2:B301,B301)&gt;=50,AVERAGE(OFFSET(C301,-49,0,50,1)),"")</f>
        <v>94.7714</v>
      </c>
    </row>
    <row r="302" customFormat="false" ht="15" hidden="false" customHeight="false" outlineLevel="0" collapsed="false">
      <c r="A302" s="17" t="n">
        <f aca="false">Cours_Bruts!A302</f>
        <v>45803</v>
      </c>
      <c r="B302" s="18" t="str">
        <f aca="false">Cours_Bruts!B302</f>
        <v>XOM</v>
      </c>
      <c r="C302" s="19" t="n">
        <f aca="false">Cours_Bruts!C302</f>
        <v>82.44</v>
      </c>
      <c r="D302" s="20" t="n">
        <f aca="false">IF(B302=B301,(C302-C301)/C301,"")</f>
        <v>0.0143964562569214</v>
      </c>
      <c r="E302" s="20" t="n">
        <f aca="false">IF(B302=B301,(1+E301)*(1+IF(D302="",0,D302))-1,0)</f>
        <v>-0.214857142857142</v>
      </c>
      <c r="F302" s="21" t="n">
        <f aca="false">IF(B302=B301,MAX(F301,C302),C302)</f>
        <v>112.73</v>
      </c>
      <c r="G302" s="20" t="n">
        <f aca="false">(C302-F302)/F302</f>
        <v>-0.268695112215027</v>
      </c>
      <c r="H302" s="21" t="n">
        <f aca="true">IF(COUNTIFS($B$2:B302,B302)&gt;=20,AVERAGE(OFFSET(C302,-19,0,20,1)),"")</f>
        <v>87.1395</v>
      </c>
      <c r="I302" s="21" t="n">
        <f aca="true">IF(COUNTIFS($B$2:B302,B302)&gt;=50,AVERAGE(OFFSET(C302,-49,0,50,1)),"")</f>
        <v>94.2988</v>
      </c>
    </row>
    <row r="303" customFormat="false" ht="15" hidden="false" customHeight="false" outlineLevel="0" collapsed="false">
      <c r="A303" s="17" t="n">
        <f aca="false">Cours_Bruts!A303</f>
        <v>45804</v>
      </c>
      <c r="B303" s="18" t="str">
        <f aca="false">Cours_Bruts!B303</f>
        <v>XOM</v>
      </c>
      <c r="C303" s="19" t="n">
        <f aca="false">Cours_Bruts!C303</f>
        <v>82.68</v>
      </c>
      <c r="D303" s="20" t="n">
        <f aca="false">IF(B303=B302,(C303-C302)/C302,"")</f>
        <v>0.00291120815138293</v>
      </c>
      <c r="E303" s="20" t="n">
        <f aca="false">IF(B303=B302,(1+E302)*(1+IF(D303="",0,D303))-1,0)</f>
        <v>-0.212571428571428</v>
      </c>
      <c r="F303" s="21" t="n">
        <f aca="false">IF(B303=B302,MAX(F302,C303),C303)</f>
        <v>112.73</v>
      </c>
      <c r="G303" s="20" t="n">
        <f aca="false">(C303-F303)/F303</f>
        <v>-0.266566131464561</v>
      </c>
      <c r="H303" s="21" t="n">
        <f aca="true">IF(COUNTIFS($B$2:B303,B303)&gt;=20,AVERAGE(OFFSET(C303,-19,0,20,1)),"")</f>
        <v>86.4815</v>
      </c>
      <c r="I303" s="21" t="n">
        <f aca="true">IF(COUNTIFS($B$2:B303,B303)&gt;=50,AVERAGE(OFFSET(C303,-49,0,50,1)),"")</f>
        <v>93.8444</v>
      </c>
    </row>
    <row r="304" customFormat="false" ht="15" hidden="false" customHeight="false" outlineLevel="0" collapsed="false">
      <c r="A304" s="17" t="n">
        <f aca="false">Cours_Bruts!A304</f>
        <v>45805</v>
      </c>
      <c r="B304" s="18" t="str">
        <f aca="false">Cours_Bruts!B304</f>
        <v>XOM</v>
      </c>
      <c r="C304" s="19" t="n">
        <f aca="false">Cours_Bruts!C304</f>
        <v>80.83</v>
      </c>
      <c r="D304" s="20" t="n">
        <f aca="false">IF(B304=B303,(C304-C303)/C303,"")</f>
        <v>-0.0223754233188196</v>
      </c>
      <c r="E304" s="20" t="n">
        <f aca="false">IF(B304=B303,(1+E303)*(1+IF(D304="",0,D304))-1,0)</f>
        <v>-0.230190476190476</v>
      </c>
      <c r="F304" s="21" t="n">
        <f aca="false">IF(B304=B303,MAX(F303,C304),C304)</f>
        <v>112.73</v>
      </c>
      <c r="G304" s="20" t="n">
        <f aca="false">(C304-F304)/F304</f>
        <v>-0.282977024749401</v>
      </c>
      <c r="H304" s="21" t="n">
        <f aca="true">IF(COUNTIFS($B$2:B304,B304)&gt;=20,AVERAGE(OFFSET(C304,-19,0,20,1)),"")</f>
        <v>85.807</v>
      </c>
      <c r="I304" s="21" t="n">
        <f aca="true">IF(COUNTIFS($B$2:B304,B304)&gt;=50,AVERAGE(OFFSET(C304,-49,0,50,1)),"")</f>
        <v>93.3918</v>
      </c>
    </row>
    <row r="305" customFormat="false" ht="15" hidden="false" customHeight="false" outlineLevel="0" collapsed="false">
      <c r="A305" s="17" t="n">
        <f aca="false">Cours_Bruts!A305</f>
        <v>45806</v>
      </c>
      <c r="B305" s="18" t="str">
        <f aca="false">Cours_Bruts!B305</f>
        <v>XOM</v>
      </c>
      <c r="C305" s="19" t="n">
        <f aca="false">Cours_Bruts!C305</f>
        <v>81.12</v>
      </c>
      <c r="D305" s="20" t="n">
        <f aca="false">IF(B305=B304,(C305-C304)/C304,"")</f>
        <v>0.00358777681553886</v>
      </c>
      <c r="E305" s="20" t="n">
        <f aca="false">IF(B305=B304,(1+E304)*(1+IF(D305="",0,D305))-1,0)</f>
        <v>-0.227428571428571</v>
      </c>
      <c r="F305" s="21" t="n">
        <f aca="false">IF(B305=B304,MAX(F304,C305),C305)</f>
        <v>112.73</v>
      </c>
      <c r="G305" s="20" t="n">
        <f aca="false">(C305-F305)/F305</f>
        <v>-0.280404506342588</v>
      </c>
      <c r="H305" s="21" t="n">
        <f aca="true">IF(COUNTIFS($B$2:B305,B305)&gt;=20,AVERAGE(OFFSET(C305,-19,0,20,1)),"")</f>
        <v>85.1665</v>
      </c>
      <c r="I305" s="21" t="n">
        <f aca="true">IF(COUNTIFS($B$2:B305,B305)&gt;=50,AVERAGE(OFFSET(C305,-49,0,50,1)),"")</f>
        <v>92.9132</v>
      </c>
    </row>
    <row r="306" customFormat="false" ht="15" hidden="false" customHeight="false" outlineLevel="0" collapsed="false">
      <c r="A306" s="17" t="n">
        <f aca="false">Cours_Bruts!A306</f>
        <v>45807</v>
      </c>
      <c r="B306" s="18" t="str">
        <f aca="false">Cours_Bruts!B306</f>
        <v>XOM</v>
      </c>
      <c r="C306" s="19" t="n">
        <f aca="false">Cours_Bruts!C306</f>
        <v>83.21</v>
      </c>
      <c r="D306" s="20" t="n">
        <f aca="false">IF(B306=B305,(C306-C305)/C305,"")</f>
        <v>0.0257642998027612</v>
      </c>
      <c r="E306" s="20" t="n">
        <f aca="false">IF(B306=B305,(1+E305)*(1+IF(D306="",0,D306))-1,0)</f>
        <v>-0.207523809523809</v>
      </c>
      <c r="F306" s="21" t="n">
        <f aca="false">IF(B306=B305,MAX(F305,C306),C306)</f>
        <v>112.73</v>
      </c>
      <c r="G306" s="20" t="n">
        <f aca="false">(C306-F306)/F306</f>
        <v>-0.261864632307283</v>
      </c>
      <c r="H306" s="21" t="n">
        <f aca="true">IF(COUNTIFS($B$2:B306,B306)&gt;=20,AVERAGE(OFFSET(C306,-19,0,20,1)),"")</f>
        <v>84.7145</v>
      </c>
      <c r="I306" s="21" t="n">
        <f aca="true">IF(COUNTIFS($B$2:B306,B306)&gt;=50,AVERAGE(OFFSET(C306,-49,0,50,1)),"")</f>
        <v>92.504</v>
      </c>
    </row>
    <row r="307" customFormat="false" ht="15" hidden="false" customHeight="false" outlineLevel="0" collapsed="false">
      <c r="A307" s="17" t="n">
        <f aca="false">Cours_Bruts!A307</f>
        <v>45810</v>
      </c>
      <c r="B307" s="18" t="str">
        <f aca="false">Cours_Bruts!B307</f>
        <v>XOM</v>
      </c>
      <c r="C307" s="19" t="n">
        <f aca="false">Cours_Bruts!C307</f>
        <v>82.54</v>
      </c>
      <c r="D307" s="20" t="n">
        <f aca="false">IF(B307=B306,(C307-C306)/C306,"")</f>
        <v>-0.00805191683691849</v>
      </c>
      <c r="E307" s="20" t="n">
        <f aca="false">IF(B307=B306,(1+E306)*(1+IF(D307="",0,D307))-1,0)</f>
        <v>-0.213904761904762</v>
      </c>
      <c r="F307" s="21" t="n">
        <f aca="false">IF(B307=B306,MAX(F306,C307),C307)</f>
        <v>112.73</v>
      </c>
      <c r="G307" s="20" t="n">
        <f aca="false">(C307-F307)/F307</f>
        <v>-0.267808036902333</v>
      </c>
      <c r="H307" s="21" t="n">
        <f aca="true">IF(COUNTIFS($B$2:B307,B307)&gt;=20,AVERAGE(OFFSET(C307,-19,0,20,1)),"")</f>
        <v>84.2695</v>
      </c>
      <c r="I307" s="21" t="n">
        <f aca="true">IF(COUNTIFS($B$2:B307,B307)&gt;=50,AVERAGE(OFFSET(C307,-49,0,50,1)),"")</f>
        <v>92.152</v>
      </c>
    </row>
    <row r="308" customFormat="false" ht="15" hidden="false" customHeight="false" outlineLevel="0" collapsed="false">
      <c r="A308" s="17" t="n">
        <f aca="false">Cours_Bruts!A308</f>
        <v>45811</v>
      </c>
      <c r="B308" s="18" t="str">
        <f aca="false">Cours_Bruts!B308</f>
        <v>XOM</v>
      </c>
      <c r="C308" s="19" t="n">
        <f aca="false">Cours_Bruts!C308</f>
        <v>83.07</v>
      </c>
      <c r="D308" s="20" t="n">
        <f aca="false">IF(B308=B307,(C308-C307)/C307,"")</f>
        <v>0.00642112914950311</v>
      </c>
      <c r="E308" s="20" t="n">
        <f aca="false">IF(B308=B307,(1+E307)*(1+IF(D308="",0,D308))-1,0)</f>
        <v>-0.208857142857143</v>
      </c>
      <c r="F308" s="21" t="n">
        <f aca="false">IF(B308=B307,MAX(F307,C308),C308)</f>
        <v>112.73</v>
      </c>
      <c r="G308" s="20" t="n">
        <f aca="false">(C308-F308)/F308</f>
        <v>-0.263106537745055</v>
      </c>
      <c r="H308" s="21" t="n">
        <f aca="true">IF(COUNTIFS($B$2:B308,B308)&gt;=20,AVERAGE(OFFSET(C308,-19,0,20,1)),"")</f>
        <v>83.9515</v>
      </c>
      <c r="I308" s="21" t="n">
        <f aca="true">IF(COUNTIFS($B$2:B308,B308)&gt;=50,AVERAGE(OFFSET(C308,-49,0,50,1)),"")</f>
        <v>91.8314</v>
      </c>
    </row>
    <row r="309" customFormat="false" ht="15" hidden="false" customHeight="false" outlineLevel="0" collapsed="false">
      <c r="A309" s="17" t="n">
        <f aca="false">Cours_Bruts!A309</f>
        <v>45812</v>
      </c>
      <c r="B309" s="18" t="str">
        <f aca="false">Cours_Bruts!B309</f>
        <v>XOM</v>
      </c>
      <c r="C309" s="19" t="n">
        <f aca="false">Cours_Bruts!C309</f>
        <v>83.06</v>
      </c>
      <c r="D309" s="20" t="n">
        <f aca="false">IF(B309=B308,(C309-C308)/C308,"")</f>
        <v>-0.000120380402070433</v>
      </c>
      <c r="E309" s="20" t="n">
        <f aca="false">IF(B309=B308,(1+E308)*(1+IF(D309="",0,D309))-1,0)</f>
        <v>-0.208952380952381</v>
      </c>
      <c r="F309" s="21" t="n">
        <f aca="false">IF(B309=B308,MAX(F308,C309),C309)</f>
        <v>112.73</v>
      </c>
      <c r="G309" s="20" t="n">
        <f aca="false">(C309-F309)/F309</f>
        <v>-0.263195245276324</v>
      </c>
      <c r="H309" s="21" t="n">
        <f aca="true">IF(COUNTIFS($B$2:B309,B309)&gt;=20,AVERAGE(OFFSET(C309,-19,0,20,1)),"")</f>
        <v>83.5025</v>
      </c>
      <c r="I309" s="21" t="n">
        <f aca="true">IF(COUNTIFS($B$2:B309,B309)&gt;=50,AVERAGE(OFFSET(C309,-49,0,50,1)),"")</f>
        <v>91.5642</v>
      </c>
    </row>
    <row r="310" customFormat="false" ht="15" hidden="false" customHeight="false" outlineLevel="0" collapsed="false">
      <c r="A310" s="17" t="n">
        <f aca="false">Cours_Bruts!A310</f>
        <v>45813</v>
      </c>
      <c r="B310" s="18" t="str">
        <f aca="false">Cours_Bruts!B310</f>
        <v>XOM</v>
      </c>
      <c r="C310" s="19" t="n">
        <f aca="false">Cours_Bruts!C310</f>
        <v>85.16</v>
      </c>
      <c r="D310" s="20" t="n">
        <f aca="false">IF(B310=B309,(C310-C309)/C309,"")</f>
        <v>0.0252829280038526</v>
      </c>
      <c r="E310" s="20" t="n">
        <f aca="false">IF(B310=B309,(1+E309)*(1+IF(D310="",0,D310))-1,0)</f>
        <v>-0.188952380952381</v>
      </c>
      <c r="F310" s="21" t="n">
        <f aca="false">IF(B310=B309,MAX(F309,C310),C310)</f>
        <v>112.73</v>
      </c>
      <c r="G310" s="20" t="n">
        <f aca="false">(C310-F310)/F310</f>
        <v>-0.244566663709749</v>
      </c>
      <c r="H310" s="21" t="n">
        <f aca="true">IF(COUNTIFS($B$2:B310,B310)&gt;=20,AVERAGE(OFFSET(C310,-19,0,20,1)),"")</f>
        <v>83.221</v>
      </c>
      <c r="I310" s="21" t="n">
        <f aca="true">IF(COUNTIFS($B$2:B310,B310)&gt;=50,AVERAGE(OFFSET(C310,-49,0,50,1)),"")</f>
        <v>91.2828</v>
      </c>
    </row>
    <row r="311" customFormat="false" ht="15" hidden="false" customHeight="false" outlineLevel="0" collapsed="false">
      <c r="A311" s="17" t="n">
        <f aca="false">Cours_Bruts!A311</f>
        <v>45814</v>
      </c>
      <c r="B311" s="18" t="str">
        <f aca="false">Cours_Bruts!B311</f>
        <v>XOM</v>
      </c>
      <c r="C311" s="19" t="n">
        <f aca="false">Cours_Bruts!C311</f>
        <v>84.12</v>
      </c>
      <c r="D311" s="20" t="n">
        <f aca="false">IF(B311=B310,(C311-C310)/C310,"")</f>
        <v>-0.0122123062470643</v>
      </c>
      <c r="E311" s="20" t="n">
        <f aca="false">IF(B311=B310,(1+E310)*(1+IF(D311="",0,D311))-1,0)</f>
        <v>-0.198857142857143</v>
      </c>
      <c r="F311" s="21" t="n">
        <f aca="false">IF(B311=B310,MAX(F310,C311),C311)</f>
        <v>112.73</v>
      </c>
      <c r="G311" s="20" t="n">
        <f aca="false">(C311-F311)/F311</f>
        <v>-0.253792246961767</v>
      </c>
      <c r="H311" s="21" t="n">
        <f aca="true">IF(COUNTIFS($B$2:B311,B311)&gt;=20,AVERAGE(OFFSET(C311,-19,0,20,1)),"")</f>
        <v>82.9595</v>
      </c>
      <c r="I311" s="21" t="n">
        <f aca="true">IF(COUNTIFS($B$2:B311,B311)&gt;=50,AVERAGE(OFFSET(C311,-49,0,50,1)),"")</f>
        <v>90.9632</v>
      </c>
    </row>
    <row r="312" customFormat="false" ht="15" hidden="false" customHeight="false" outlineLevel="0" collapsed="false">
      <c r="A312" s="17" t="n">
        <f aca="false">Cours_Bruts!A312</f>
        <v>45817</v>
      </c>
      <c r="B312" s="18" t="str">
        <f aca="false">Cours_Bruts!B312</f>
        <v>XOM</v>
      </c>
      <c r="C312" s="19" t="n">
        <f aca="false">Cours_Bruts!C312</f>
        <v>85.9</v>
      </c>
      <c r="D312" s="20" t="n">
        <f aca="false">IF(B312=B311,(C312-C311)/C311,"")</f>
        <v>0.0211602472658108</v>
      </c>
      <c r="E312" s="20" t="n">
        <f aca="false">IF(B312=B311,(1+E311)*(1+IF(D312="",0,D312))-1,0)</f>
        <v>-0.181904761904762</v>
      </c>
      <c r="F312" s="21" t="n">
        <f aca="false">IF(B312=B311,MAX(F311,C312),C312)</f>
        <v>112.73</v>
      </c>
      <c r="G312" s="20" t="n">
        <f aca="false">(C312-F312)/F312</f>
        <v>-0.238002306395813</v>
      </c>
      <c r="H312" s="21" t="n">
        <f aca="true">IF(COUNTIFS($B$2:B312,B312)&gt;=20,AVERAGE(OFFSET(C312,-19,0,20,1)),"")</f>
        <v>82.8945</v>
      </c>
      <c r="I312" s="21" t="n">
        <f aca="true">IF(COUNTIFS($B$2:B312,B312)&gt;=50,AVERAGE(OFFSET(C312,-49,0,50,1)),"")</f>
        <v>90.6552</v>
      </c>
    </row>
    <row r="313" customFormat="false" ht="15" hidden="false" customHeight="false" outlineLevel="0" collapsed="false">
      <c r="A313" s="17" t="n">
        <f aca="false">Cours_Bruts!A313</f>
        <v>45818</v>
      </c>
      <c r="B313" s="18" t="str">
        <f aca="false">Cours_Bruts!B313</f>
        <v>XOM</v>
      </c>
      <c r="C313" s="19" t="n">
        <f aca="false">Cours_Bruts!C313</f>
        <v>85.33</v>
      </c>
      <c r="D313" s="20" t="n">
        <f aca="false">IF(B313=B312,(C313-C312)/C312,"")</f>
        <v>-0.00663562281722942</v>
      </c>
      <c r="E313" s="20" t="n">
        <f aca="false">IF(B313=B312,(1+E312)*(1+IF(D313="",0,D313))-1,0)</f>
        <v>-0.187333333333333</v>
      </c>
      <c r="F313" s="21" t="n">
        <f aca="false">IF(B313=B312,MAX(F312,C313),C313)</f>
        <v>112.73</v>
      </c>
      <c r="G313" s="20" t="n">
        <f aca="false">(C313-F313)/F313</f>
        <v>-0.243058635678169</v>
      </c>
      <c r="H313" s="21" t="n">
        <f aca="true">IF(COUNTIFS($B$2:B313,B313)&gt;=20,AVERAGE(OFFSET(C313,-19,0,20,1)),"")</f>
        <v>82.862</v>
      </c>
      <c r="I313" s="21" t="n">
        <f aca="true">IF(COUNTIFS($B$2:B313,B313)&gt;=50,AVERAGE(OFFSET(C313,-49,0,50,1)),"")</f>
        <v>90.3156</v>
      </c>
    </row>
    <row r="314" customFormat="false" ht="15" hidden="false" customHeight="false" outlineLevel="0" collapsed="false">
      <c r="A314" s="17" t="n">
        <f aca="false">Cours_Bruts!A314</f>
        <v>45819</v>
      </c>
      <c r="B314" s="18" t="str">
        <f aca="false">Cours_Bruts!B314</f>
        <v>XOM</v>
      </c>
      <c r="C314" s="19" t="n">
        <f aca="false">Cours_Bruts!C314</f>
        <v>84.26</v>
      </c>
      <c r="D314" s="20" t="n">
        <f aca="false">IF(B314=B313,(C314-C313)/C313,"")</f>
        <v>-0.0125395523262627</v>
      </c>
      <c r="E314" s="20" t="n">
        <f aca="false">IF(B314=B313,(1+E313)*(1+IF(D314="",0,D314))-1,0)</f>
        <v>-0.197523809523809</v>
      </c>
      <c r="F314" s="21" t="n">
        <f aca="false">IF(B314=B313,MAX(F313,C314),C314)</f>
        <v>112.73</v>
      </c>
      <c r="G314" s="20" t="n">
        <f aca="false">(C314-F314)/F314</f>
        <v>-0.252550341523995</v>
      </c>
      <c r="H314" s="21" t="n">
        <f aca="true">IF(COUNTIFS($B$2:B314,B314)&gt;=20,AVERAGE(OFFSET(C314,-19,0,20,1)),"")</f>
        <v>82.814</v>
      </c>
      <c r="I314" s="21" t="n">
        <f aca="true">IF(COUNTIFS($B$2:B314,B314)&gt;=50,AVERAGE(OFFSET(C314,-49,0,50,1)),"")</f>
        <v>89.9228</v>
      </c>
    </row>
    <row r="315" customFormat="false" ht="15" hidden="false" customHeight="false" outlineLevel="0" collapsed="false">
      <c r="A315" s="17" t="n">
        <f aca="false">Cours_Bruts!A315</f>
        <v>45820</v>
      </c>
      <c r="B315" s="18" t="str">
        <f aca="false">Cours_Bruts!B315</f>
        <v>XOM</v>
      </c>
      <c r="C315" s="19" t="n">
        <f aca="false">Cours_Bruts!C315</f>
        <v>84.44</v>
      </c>
      <c r="D315" s="20" t="n">
        <f aca="false">IF(B315=B314,(C315-C314)/C314,"")</f>
        <v>0.00213624495608821</v>
      </c>
      <c r="E315" s="20" t="n">
        <f aca="false">IF(B315=B314,(1+E314)*(1+IF(D315="",0,D315))-1,0)</f>
        <v>-0.195809523809524</v>
      </c>
      <c r="F315" s="21" t="n">
        <f aca="false">IF(B315=B314,MAX(F314,C315),C315)</f>
        <v>112.73</v>
      </c>
      <c r="G315" s="20" t="n">
        <f aca="false">(C315-F315)/F315</f>
        <v>-0.250953605961146</v>
      </c>
      <c r="H315" s="21" t="n">
        <f aca="true">IF(COUNTIFS($B$2:B315,B315)&gt;=20,AVERAGE(OFFSET(C315,-19,0,20,1)),"")</f>
        <v>82.778</v>
      </c>
      <c r="I315" s="21" t="n">
        <f aca="true">IF(COUNTIFS($B$2:B315,B315)&gt;=50,AVERAGE(OFFSET(C315,-49,0,50,1)),"")</f>
        <v>89.4902</v>
      </c>
    </row>
    <row r="316" customFormat="false" ht="15" hidden="false" customHeight="false" outlineLevel="0" collapsed="false">
      <c r="A316" s="17" t="n">
        <f aca="false">Cours_Bruts!A316</f>
        <v>45821</v>
      </c>
      <c r="B316" s="18" t="str">
        <f aca="false">Cours_Bruts!B316</f>
        <v>XOM</v>
      </c>
      <c r="C316" s="19" t="n">
        <f aca="false">Cours_Bruts!C316</f>
        <v>84.98</v>
      </c>
      <c r="D316" s="20" t="n">
        <f aca="false">IF(B316=B315,(C316-C315)/C315,"")</f>
        <v>0.00639507342491718</v>
      </c>
      <c r="E316" s="20" t="n">
        <f aca="false">IF(B316=B315,(1+E315)*(1+IF(D316="",0,D316))-1,0)</f>
        <v>-0.190666666666666</v>
      </c>
      <c r="F316" s="21" t="n">
        <f aca="false">IF(B316=B315,MAX(F315,C316),C316)</f>
        <v>112.73</v>
      </c>
      <c r="G316" s="20" t="n">
        <f aca="false">(C316-F316)/F316</f>
        <v>-0.246163399272598</v>
      </c>
      <c r="H316" s="21" t="n">
        <f aca="true">IF(COUNTIFS($B$2:B316,B316)&gt;=20,AVERAGE(OFFSET(C316,-19,0,20,1)),"")</f>
        <v>82.8185</v>
      </c>
      <c r="I316" s="21" t="n">
        <f aca="true">IF(COUNTIFS($B$2:B316,B316)&gt;=50,AVERAGE(OFFSET(C316,-49,0,50,1)),"")</f>
        <v>89.089</v>
      </c>
    </row>
    <row r="317" customFormat="false" ht="15" hidden="false" customHeight="false" outlineLevel="0" collapsed="false">
      <c r="A317" s="17" t="n">
        <f aca="false">Cours_Bruts!A317</f>
        <v>45824</v>
      </c>
      <c r="B317" s="18" t="str">
        <f aca="false">Cours_Bruts!B317</f>
        <v>XOM</v>
      </c>
      <c r="C317" s="19" t="n">
        <f aca="false">Cours_Bruts!C317</f>
        <v>87.97</v>
      </c>
      <c r="D317" s="20" t="n">
        <f aca="false">IF(B317=B316,(C317-C316)/C316,"")</f>
        <v>0.0351847493527888</v>
      </c>
      <c r="E317" s="20" t="n">
        <f aca="false">IF(B317=B316,(1+E316)*(1+IF(D317="",0,D317))-1,0)</f>
        <v>-0.162190476190476</v>
      </c>
      <c r="F317" s="21" t="n">
        <f aca="false">IF(B317=B316,MAX(F316,C317),C317)</f>
        <v>112.73</v>
      </c>
      <c r="G317" s="20" t="n">
        <f aca="false">(C317-F317)/F317</f>
        <v>-0.219639847423046</v>
      </c>
      <c r="H317" s="21" t="n">
        <f aca="true">IF(COUNTIFS($B$2:B317,B317)&gt;=20,AVERAGE(OFFSET(C317,-19,0,20,1)),"")</f>
        <v>83.131</v>
      </c>
      <c r="I317" s="21" t="n">
        <f aca="true">IF(COUNTIFS($B$2:B317,B317)&gt;=50,AVERAGE(OFFSET(C317,-49,0,50,1)),"")</f>
        <v>88.8018</v>
      </c>
    </row>
    <row r="318" customFormat="false" ht="15" hidden="false" customHeight="false" outlineLevel="0" collapsed="false">
      <c r="A318" s="17" t="n">
        <f aca="false">Cours_Bruts!A318</f>
        <v>45825</v>
      </c>
      <c r="B318" s="18" t="str">
        <f aca="false">Cours_Bruts!B318</f>
        <v>XOM</v>
      </c>
      <c r="C318" s="19" t="n">
        <f aca="false">Cours_Bruts!C318</f>
        <v>88.49</v>
      </c>
      <c r="D318" s="20" t="n">
        <f aca="false">IF(B318=B317,(C318-C317)/C317,"")</f>
        <v>0.00591110605888367</v>
      </c>
      <c r="E318" s="20" t="n">
        <f aca="false">IF(B318=B317,(1+E317)*(1+IF(D318="",0,D318))-1,0)</f>
        <v>-0.157238095238095</v>
      </c>
      <c r="F318" s="21" t="n">
        <f aca="false">IF(B318=B317,MAX(F317,C318),C318)</f>
        <v>112.73</v>
      </c>
      <c r="G318" s="20" t="n">
        <f aca="false">(C318-F318)/F318</f>
        <v>-0.215027055797037</v>
      </c>
      <c r="H318" s="21" t="n">
        <f aca="true">IF(COUNTIFS($B$2:B318,B318)&gt;=20,AVERAGE(OFFSET(C318,-19,0,20,1)),"")</f>
        <v>83.582</v>
      </c>
      <c r="I318" s="21" t="n">
        <f aca="true">IF(COUNTIFS($B$2:B318,B318)&gt;=50,AVERAGE(OFFSET(C318,-49,0,50,1)),"")</f>
        <v>88.5564</v>
      </c>
    </row>
    <row r="319" customFormat="false" ht="15" hidden="false" customHeight="false" outlineLevel="0" collapsed="false">
      <c r="A319" s="17" t="n">
        <f aca="false">Cours_Bruts!A319</f>
        <v>45826</v>
      </c>
      <c r="B319" s="18" t="str">
        <f aca="false">Cours_Bruts!B319</f>
        <v>XOM</v>
      </c>
      <c r="C319" s="19" t="n">
        <f aca="false">Cours_Bruts!C319</f>
        <v>88.82</v>
      </c>
      <c r="D319" s="20" t="n">
        <f aca="false">IF(B319=B318,(C319-C318)/C318,"")</f>
        <v>0.00372923494180131</v>
      </c>
      <c r="E319" s="20" t="n">
        <f aca="false">IF(B319=B318,(1+E318)*(1+IF(D319="",0,D319))-1,0)</f>
        <v>-0.154095238095238</v>
      </c>
      <c r="F319" s="21" t="n">
        <f aca="false">IF(B319=B318,MAX(F318,C319),C319)</f>
        <v>112.73</v>
      </c>
      <c r="G319" s="20" t="n">
        <f aca="false">(C319-F319)/F319</f>
        <v>-0.212099707265147</v>
      </c>
      <c r="H319" s="21" t="n">
        <f aca="true">IF(COUNTIFS($B$2:B319,B319)&gt;=20,AVERAGE(OFFSET(C319,-19,0,20,1)),"")</f>
        <v>83.9995</v>
      </c>
      <c r="I319" s="21" t="n">
        <f aca="true">IF(COUNTIFS($B$2:B319,B319)&gt;=50,AVERAGE(OFFSET(C319,-49,0,50,1)),"")</f>
        <v>88.3188</v>
      </c>
    </row>
    <row r="320" customFormat="false" ht="15" hidden="false" customHeight="false" outlineLevel="0" collapsed="false">
      <c r="A320" s="17" t="n">
        <f aca="false">Cours_Bruts!A320</f>
        <v>45827</v>
      </c>
      <c r="B320" s="18" t="str">
        <f aca="false">Cours_Bruts!B320</f>
        <v>XOM</v>
      </c>
      <c r="C320" s="19" t="n">
        <f aca="false">Cours_Bruts!C320</f>
        <v>91.42</v>
      </c>
      <c r="D320" s="20" t="n">
        <f aca="false">IF(B320=B319,(C320-C319)/C319,"")</f>
        <v>0.0292726863319073</v>
      </c>
      <c r="E320" s="20" t="n">
        <f aca="false">IF(B320=B319,(1+E319)*(1+IF(D320="",0,D320))-1,0)</f>
        <v>-0.129333333333333</v>
      </c>
      <c r="F320" s="21" t="n">
        <f aca="false">IF(B320=B319,MAX(F319,C320),C320)</f>
        <v>112.73</v>
      </c>
      <c r="G320" s="20" t="n">
        <f aca="false">(C320-F320)/F320</f>
        <v>-0.189035749135102</v>
      </c>
      <c r="H320" s="21" t="n">
        <f aca="true">IF(COUNTIFS($B$2:B320,B320)&gt;=20,AVERAGE(OFFSET(C320,-19,0,20,1)),"")</f>
        <v>84.5555</v>
      </c>
      <c r="I320" s="21" t="n">
        <f aca="true">IF(COUNTIFS($B$2:B320,B320)&gt;=50,AVERAGE(OFFSET(C320,-49,0,50,1)),"")</f>
        <v>88.2274</v>
      </c>
    </row>
    <row r="321" customFormat="false" ht="15" hidden="false" customHeight="false" outlineLevel="0" collapsed="false">
      <c r="A321" s="17" t="n">
        <f aca="false">Cours_Bruts!A321</f>
        <v>45828</v>
      </c>
      <c r="B321" s="18" t="str">
        <f aca="false">Cours_Bruts!B321</f>
        <v>XOM</v>
      </c>
      <c r="C321" s="19" t="n">
        <f aca="false">Cours_Bruts!C321</f>
        <v>92.44</v>
      </c>
      <c r="D321" s="20" t="n">
        <f aca="false">IF(B321=B320,(C321-C320)/C320,"")</f>
        <v>0.0111572959964996</v>
      </c>
      <c r="E321" s="20" t="n">
        <f aca="false">IF(B321=B320,(1+E320)*(1+IF(D321="",0,D321))-1,0)</f>
        <v>-0.119619047619048</v>
      </c>
      <c r="F321" s="21" t="n">
        <f aca="false">IF(B321=B320,MAX(F320,C321),C321)</f>
        <v>112.73</v>
      </c>
      <c r="G321" s="20" t="n">
        <f aca="false">(C321-F321)/F321</f>
        <v>-0.179987580945622</v>
      </c>
      <c r="H321" s="21" t="n">
        <f aca="true">IF(COUNTIFS($B$2:B321,B321)&gt;=20,AVERAGE(OFFSET(C321,-19,0,20,1)),"")</f>
        <v>85.114</v>
      </c>
      <c r="I321" s="21" t="n">
        <f aca="true">IF(COUNTIFS($B$2:B321,B321)&gt;=50,AVERAGE(OFFSET(C321,-49,0,50,1)),"")</f>
        <v>88.116</v>
      </c>
    </row>
    <row r="322" customFormat="false" ht="15" hidden="false" customHeight="false" outlineLevel="0" collapsed="false">
      <c r="A322" s="17" t="n">
        <f aca="false">Cours_Bruts!A322</f>
        <v>45719</v>
      </c>
      <c r="B322" s="18" t="str">
        <f aca="false">Cours_Bruts!B322</f>
        <v>SAN</v>
      </c>
      <c r="C322" s="19" t="n">
        <f aca="false">Cours_Bruts!C322</f>
        <v>90</v>
      </c>
      <c r="D322" s="20" t="str">
        <f aca="false">IF(B322=B321,(C322-C321)/C321,"")</f>
        <v/>
      </c>
      <c r="E322" s="20" t="n">
        <f aca="false">IF(B322=B321,(1+E321)*(1+IF(D322="",0,D322))-1,0)</f>
        <v>0</v>
      </c>
      <c r="F322" s="21" t="n">
        <f aca="false">IF(B322=B321,MAX(F321,C322),C322)</f>
        <v>90</v>
      </c>
      <c r="G322" s="20" t="n">
        <f aca="false">(C322-F322)/F322</f>
        <v>0</v>
      </c>
      <c r="H322" s="21" t="str">
        <f aca="true">IF(COUNTIFS($B$2:B322,B322)&gt;=20,AVERAGE(OFFSET(C322,-19,0,20,1)),"")</f>
        <v/>
      </c>
      <c r="I322" s="21" t="str">
        <f aca="true">IF(COUNTIFS($B$2:B322,B322)&gt;=50,AVERAGE(OFFSET(C322,-49,0,50,1)),"")</f>
        <v/>
      </c>
    </row>
    <row r="323" customFormat="false" ht="15" hidden="false" customHeight="false" outlineLevel="0" collapsed="false">
      <c r="A323" s="17" t="n">
        <f aca="false">Cours_Bruts!A323</f>
        <v>45720</v>
      </c>
      <c r="B323" s="18" t="str">
        <f aca="false">Cours_Bruts!B323</f>
        <v>SAN</v>
      </c>
      <c r="C323" s="19" t="n">
        <f aca="false">Cours_Bruts!C323</f>
        <v>88.55</v>
      </c>
      <c r="D323" s="20" t="n">
        <f aca="false">IF(B323=B322,(C323-C322)/C322,"")</f>
        <v>-0.0161111111111111</v>
      </c>
      <c r="E323" s="20" t="n">
        <f aca="false">IF(B323=B322,(1+E322)*(1+IF(D323="",0,D323))-1,0)</f>
        <v>-0.0161111111111112</v>
      </c>
      <c r="F323" s="21" t="n">
        <f aca="false">IF(B323=B322,MAX(F322,C323),C323)</f>
        <v>90</v>
      </c>
      <c r="G323" s="20" t="n">
        <f aca="false">(C323-F323)/F323</f>
        <v>-0.0161111111111111</v>
      </c>
      <c r="H323" s="21" t="str">
        <f aca="true">IF(COUNTIFS($B$2:B323,B323)&gt;=20,AVERAGE(OFFSET(C323,-19,0,20,1)),"")</f>
        <v/>
      </c>
      <c r="I323" s="21" t="str">
        <f aca="true">IF(COUNTIFS($B$2:B323,B323)&gt;=50,AVERAGE(OFFSET(C323,-49,0,50,1)),"")</f>
        <v/>
      </c>
    </row>
    <row r="324" customFormat="false" ht="15" hidden="false" customHeight="false" outlineLevel="0" collapsed="false">
      <c r="A324" s="17" t="n">
        <f aca="false">Cours_Bruts!A324</f>
        <v>45721</v>
      </c>
      <c r="B324" s="18" t="str">
        <f aca="false">Cours_Bruts!B324</f>
        <v>SAN</v>
      </c>
      <c r="C324" s="19" t="n">
        <f aca="false">Cours_Bruts!C324</f>
        <v>88.46</v>
      </c>
      <c r="D324" s="20" t="n">
        <f aca="false">IF(B324=B323,(C324-C323)/C323,"")</f>
        <v>-0.00101637492941845</v>
      </c>
      <c r="E324" s="20" t="n">
        <f aca="false">IF(B324=B323,(1+E323)*(1+IF(D324="",0,D324))-1,0)</f>
        <v>-0.0171111111111112</v>
      </c>
      <c r="F324" s="21" t="n">
        <f aca="false">IF(B324=B323,MAX(F323,C324),C324)</f>
        <v>90</v>
      </c>
      <c r="G324" s="20" t="n">
        <f aca="false">(C324-F324)/F324</f>
        <v>-0.0171111111111112</v>
      </c>
      <c r="H324" s="21" t="str">
        <f aca="true">IF(COUNTIFS($B$2:B324,B324)&gt;=20,AVERAGE(OFFSET(C324,-19,0,20,1)),"")</f>
        <v/>
      </c>
      <c r="I324" s="21" t="str">
        <f aca="true">IF(COUNTIFS($B$2:B324,B324)&gt;=50,AVERAGE(OFFSET(C324,-49,0,50,1)),"")</f>
        <v/>
      </c>
    </row>
    <row r="325" customFormat="false" ht="15" hidden="false" customHeight="false" outlineLevel="0" collapsed="false">
      <c r="A325" s="17" t="n">
        <f aca="false">Cours_Bruts!A325</f>
        <v>45722</v>
      </c>
      <c r="B325" s="18" t="str">
        <f aca="false">Cours_Bruts!B325</f>
        <v>SAN</v>
      </c>
      <c r="C325" s="19" t="n">
        <f aca="false">Cours_Bruts!C325</f>
        <v>88.4</v>
      </c>
      <c r="D325" s="20" t="n">
        <f aca="false">IF(B325=B324,(C325-C324)/C324,"")</f>
        <v>-0.000678272665611441</v>
      </c>
      <c r="E325" s="20" t="n">
        <f aca="false">IF(B325=B324,(1+E324)*(1+IF(D325="",0,D325))-1,0)</f>
        <v>-0.0177777777777778</v>
      </c>
      <c r="F325" s="21" t="n">
        <f aca="false">IF(B325=B324,MAX(F324,C325),C325)</f>
        <v>90</v>
      </c>
      <c r="G325" s="20" t="n">
        <f aca="false">(C325-F325)/F325</f>
        <v>-0.0177777777777777</v>
      </c>
      <c r="H325" s="21" t="str">
        <f aca="true">IF(COUNTIFS($B$2:B325,B325)&gt;=20,AVERAGE(OFFSET(C325,-19,0,20,1)),"")</f>
        <v/>
      </c>
      <c r="I325" s="21" t="str">
        <f aca="true">IF(COUNTIFS($B$2:B325,B325)&gt;=50,AVERAGE(OFFSET(C325,-49,0,50,1)),"")</f>
        <v/>
      </c>
    </row>
    <row r="326" customFormat="false" ht="15" hidden="false" customHeight="false" outlineLevel="0" collapsed="false">
      <c r="A326" s="17" t="n">
        <f aca="false">Cours_Bruts!A326</f>
        <v>45723</v>
      </c>
      <c r="B326" s="18" t="str">
        <f aca="false">Cours_Bruts!B326</f>
        <v>SAN</v>
      </c>
      <c r="C326" s="19" t="n">
        <f aca="false">Cours_Bruts!C326</f>
        <v>87.33</v>
      </c>
      <c r="D326" s="20" t="n">
        <f aca="false">IF(B326=B325,(C326-C325)/C325,"")</f>
        <v>-0.0121040723981901</v>
      </c>
      <c r="E326" s="20" t="n">
        <f aca="false">IF(B326=B325,(1+E325)*(1+IF(D326="",0,D326))-1,0)</f>
        <v>-0.0296666666666667</v>
      </c>
      <c r="F326" s="21" t="n">
        <f aca="false">IF(B326=B325,MAX(F325,C326),C326)</f>
        <v>90</v>
      </c>
      <c r="G326" s="20" t="n">
        <f aca="false">(C326-F326)/F326</f>
        <v>-0.0296666666666667</v>
      </c>
      <c r="H326" s="21" t="str">
        <f aca="true">IF(COUNTIFS($B$2:B326,B326)&gt;=20,AVERAGE(OFFSET(C326,-19,0,20,1)),"")</f>
        <v/>
      </c>
      <c r="I326" s="21" t="str">
        <f aca="true">IF(COUNTIFS($B$2:B326,B326)&gt;=50,AVERAGE(OFFSET(C326,-49,0,50,1)),"")</f>
        <v/>
      </c>
    </row>
    <row r="327" customFormat="false" ht="15" hidden="false" customHeight="false" outlineLevel="0" collapsed="false">
      <c r="A327" s="17" t="n">
        <f aca="false">Cours_Bruts!A327</f>
        <v>45726</v>
      </c>
      <c r="B327" s="18" t="str">
        <f aca="false">Cours_Bruts!B327</f>
        <v>SAN</v>
      </c>
      <c r="C327" s="19" t="n">
        <f aca="false">Cours_Bruts!C327</f>
        <v>87.83</v>
      </c>
      <c r="D327" s="20" t="n">
        <f aca="false">IF(B327=B326,(C327-C326)/C326,"")</f>
        <v>0.00572540936676972</v>
      </c>
      <c r="E327" s="20" t="n">
        <f aca="false">IF(B327=B326,(1+E326)*(1+IF(D327="",0,D327))-1,0)</f>
        <v>-0.0241111111111111</v>
      </c>
      <c r="F327" s="21" t="n">
        <f aca="false">IF(B327=B326,MAX(F326,C327),C327)</f>
        <v>90</v>
      </c>
      <c r="G327" s="20" t="n">
        <f aca="false">(C327-F327)/F327</f>
        <v>-0.0241111111111111</v>
      </c>
      <c r="H327" s="21" t="str">
        <f aca="true">IF(COUNTIFS($B$2:B327,B327)&gt;=20,AVERAGE(OFFSET(C327,-19,0,20,1)),"")</f>
        <v/>
      </c>
      <c r="I327" s="21" t="str">
        <f aca="true">IF(COUNTIFS($B$2:B327,B327)&gt;=50,AVERAGE(OFFSET(C327,-49,0,50,1)),"")</f>
        <v/>
      </c>
    </row>
    <row r="328" customFormat="false" ht="15" hidden="false" customHeight="false" outlineLevel="0" collapsed="false">
      <c r="A328" s="17" t="n">
        <f aca="false">Cours_Bruts!A328</f>
        <v>45727</v>
      </c>
      <c r="B328" s="18" t="str">
        <f aca="false">Cours_Bruts!B328</f>
        <v>SAN</v>
      </c>
      <c r="C328" s="19" t="n">
        <f aca="false">Cours_Bruts!C328</f>
        <v>88.6</v>
      </c>
      <c r="D328" s="20" t="n">
        <f aca="false">IF(B328=B327,(C328-C327)/C327,"")</f>
        <v>0.00876693612660818</v>
      </c>
      <c r="E328" s="20" t="n">
        <f aca="false">IF(B328=B327,(1+E327)*(1+IF(D328="",0,D328))-1,0)</f>
        <v>-0.0155555555555554</v>
      </c>
      <c r="F328" s="21" t="n">
        <f aca="false">IF(B328=B327,MAX(F327,C328),C328)</f>
        <v>90</v>
      </c>
      <c r="G328" s="20" t="n">
        <f aca="false">(C328-F328)/F328</f>
        <v>-0.0155555555555556</v>
      </c>
      <c r="H328" s="21" t="str">
        <f aca="true">IF(COUNTIFS($B$2:B328,B328)&gt;=20,AVERAGE(OFFSET(C328,-19,0,20,1)),"")</f>
        <v/>
      </c>
      <c r="I328" s="21" t="str">
        <f aca="true">IF(COUNTIFS($B$2:B328,B328)&gt;=50,AVERAGE(OFFSET(C328,-49,0,50,1)),"")</f>
        <v/>
      </c>
    </row>
    <row r="329" customFormat="false" ht="15" hidden="false" customHeight="false" outlineLevel="0" collapsed="false">
      <c r="A329" s="17" t="n">
        <f aca="false">Cours_Bruts!A329</f>
        <v>45728</v>
      </c>
      <c r="B329" s="18" t="str">
        <f aca="false">Cours_Bruts!B329</f>
        <v>SAN</v>
      </c>
      <c r="C329" s="19" t="n">
        <f aca="false">Cours_Bruts!C329</f>
        <v>88.33</v>
      </c>
      <c r="D329" s="20" t="n">
        <f aca="false">IF(B329=B328,(C329-C328)/C328,"")</f>
        <v>-0.00304740406320537</v>
      </c>
      <c r="E329" s="20" t="n">
        <f aca="false">IF(B329=B328,(1+E328)*(1+IF(D329="",0,D329))-1,0)</f>
        <v>-0.0185555555555553</v>
      </c>
      <c r="F329" s="21" t="n">
        <f aca="false">IF(B329=B328,MAX(F328,C329),C329)</f>
        <v>90</v>
      </c>
      <c r="G329" s="20" t="n">
        <f aca="false">(C329-F329)/F329</f>
        <v>-0.0185555555555556</v>
      </c>
      <c r="H329" s="21" t="str">
        <f aca="true">IF(COUNTIFS($B$2:B329,B329)&gt;=20,AVERAGE(OFFSET(C329,-19,0,20,1)),"")</f>
        <v/>
      </c>
      <c r="I329" s="21" t="str">
        <f aca="true">IF(COUNTIFS($B$2:B329,B329)&gt;=50,AVERAGE(OFFSET(C329,-49,0,50,1)),"")</f>
        <v/>
      </c>
    </row>
    <row r="330" customFormat="false" ht="15" hidden="false" customHeight="false" outlineLevel="0" collapsed="false">
      <c r="A330" s="17" t="n">
        <f aca="false">Cours_Bruts!A330</f>
        <v>45729</v>
      </c>
      <c r="B330" s="18" t="str">
        <f aca="false">Cours_Bruts!B330</f>
        <v>SAN</v>
      </c>
      <c r="C330" s="19" t="n">
        <f aca="false">Cours_Bruts!C330</f>
        <v>90.42</v>
      </c>
      <c r="D330" s="20" t="n">
        <f aca="false">IF(B330=B329,(C330-C329)/C329,"")</f>
        <v>0.0236612702366127</v>
      </c>
      <c r="E330" s="20" t="n">
        <f aca="false">IF(B330=B329,(1+E329)*(1+IF(D330="",0,D330))-1,0)</f>
        <v>0.00466666666666704</v>
      </c>
      <c r="F330" s="21" t="n">
        <f aca="false">IF(B330=B329,MAX(F329,C330),C330)</f>
        <v>90.42</v>
      </c>
      <c r="G330" s="20" t="n">
        <f aca="false">(C330-F330)/F330</f>
        <v>0</v>
      </c>
      <c r="H330" s="21" t="str">
        <f aca="true">IF(COUNTIFS($B$2:B330,B330)&gt;=20,AVERAGE(OFFSET(C330,-19,0,20,1)),"")</f>
        <v/>
      </c>
      <c r="I330" s="21" t="str">
        <f aca="true">IF(COUNTIFS($B$2:B330,B330)&gt;=50,AVERAGE(OFFSET(C330,-49,0,50,1)),"")</f>
        <v/>
      </c>
    </row>
    <row r="331" customFormat="false" ht="15" hidden="false" customHeight="false" outlineLevel="0" collapsed="false">
      <c r="A331" s="17" t="n">
        <f aca="false">Cours_Bruts!A331</f>
        <v>45730</v>
      </c>
      <c r="B331" s="18" t="str">
        <f aca="false">Cours_Bruts!B331</f>
        <v>SAN</v>
      </c>
      <c r="C331" s="19" t="n">
        <f aca="false">Cours_Bruts!C331</f>
        <v>90.11</v>
      </c>
      <c r="D331" s="20" t="n">
        <f aca="false">IF(B331=B330,(C331-C330)/C330,"")</f>
        <v>-0.00342844503428448</v>
      </c>
      <c r="E331" s="20" t="n">
        <f aca="false">IF(B331=B330,(1+E330)*(1+IF(D331="",0,D331))-1,0)</f>
        <v>0.00122222222222246</v>
      </c>
      <c r="F331" s="21" t="n">
        <f aca="false">IF(B331=B330,MAX(F330,C331),C331)</f>
        <v>90.42</v>
      </c>
      <c r="G331" s="20" t="n">
        <f aca="false">(C331-F331)/F331</f>
        <v>-0.00342844503428448</v>
      </c>
      <c r="H331" s="21" t="str">
        <f aca="true">IF(COUNTIFS($B$2:B331,B331)&gt;=20,AVERAGE(OFFSET(C331,-19,0,20,1)),"")</f>
        <v/>
      </c>
      <c r="I331" s="21" t="str">
        <f aca="true">IF(COUNTIFS($B$2:B331,B331)&gt;=50,AVERAGE(OFFSET(C331,-49,0,50,1)),"")</f>
        <v/>
      </c>
    </row>
    <row r="332" customFormat="false" ht="15" hidden="false" customHeight="false" outlineLevel="0" collapsed="false">
      <c r="A332" s="17" t="n">
        <f aca="false">Cours_Bruts!A332</f>
        <v>45733</v>
      </c>
      <c r="B332" s="18" t="str">
        <f aca="false">Cours_Bruts!B332</f>
        <v>SAN</v>
      </c>
      <c r="C332" s="19" t="n">
        <f aca="false">Cours_Bruts!C332</f>
        <v>89.68</v>
      </c>
      <c r="D332" s="20" t="n">
        <f aca="false">IF(B332=B331,(C332-C331)/C331,"")</f>
        <v>-0.0047719454000665</v>
      </c>
      <c r="E332" s="20" t="n">
        <f aca="false">IF(B332=B331,(1+E331)*(1+IF(D332="",0,D332))-1,0)</f>
        <v>-0.00355555555555531</v>
      </c>
      <c r="F332" s="21" t="n">
        <f aca="false">IF(B332=B331,MAX(F331,C332),C332)</f>
        <v>90.42</v>
      </c>
      <c r="G332" s="20" t="n">
        <f aca="false">(C332-F332)/F332</f>
        <v>-0.00818403008184025</v>
      </c>
      <c r="H332" s="21" t="str">
        <f aca="true">IF(COUNTIFS($B$2:B332,B332)&gt;=20,AVERAGE(OFFSET(C332,-19,0,20,1)),"")</f>
        <v/>
      </c>
      <c r="I332" s="21" t="str">
        <f aca="true">IF(COUNTIFS($B$2:B332,B332)&gt;=50,AVERAGE(OFFSET(C332,-49,0,50,1)),"")</f>
        <v/>
      </c>
    </row>
    <row r="333" customFormat="false" ht="15" hidden="false" customHeight="false" outlineLevel="0" collapsed="false">
      <c r="A333" s="17" t="n">
        <f aca="false">Cours_Bruts!A333</f>
        <v>45734</v>
      </c>
      <c r="B333" s="18" t="str">
        <f aca="false">Cours_Bruts!B333</f>
        <v>SAN</v>
      </c>
      <c r="C333" s="19" t="n">
        <f aca="false">Cours_Bruts!C333</f>
        <v>89.22</v>
      </c>
      <c r="D333" s="20" t="n">
        <f aca="false">IF(B333=B332,(C333-C332)/C332,"")</f>
        <v>-0.0051293487957182</v>
      </c>
      <c r="E333" s="20" t="n">
        <f aca="false">IF(B333=B332,(1+E332)*(1+IF(D333="",0,D333))-1,0)</f>
        <v>-0.0086666666666666</v>
      </c>
      <c r="F333" s="21" t="n">
        <f aca="false">IF(B333=B332,MAX(F332,C333),C333)</f>
        <v>90.42</v>
      </c>
      <c r="G333" s="20" t="n">
        <f aca="false">(C333-F333)/F333</f>
        <v>-0.013271400132714</v>
      </c>
      <c r="H333" s="21" t="str">
        <f aca="true">IF(COUNTIFS($B$2:B333,B333)&gt;=20,AVERAGE(OFFSET(C333,-19,0,20,1)),"")</f>
        <v/>
      </c>
      <c r="I333" s="21" t="str">
        <f aca="true">IF(COUNTIFS($B$2:B333,B333)&gt;=50,AVERAGE(OFFSET(C333,-49,0,50,1)),"")</f>
        <v/>
      </c>
    </row>
    <row r="334" customFormat="false" ht="15" hidden="false" customHeight="false" outlineLevel="0" collapsed="false">
      <c r="A334" s="17" t="n">
        <f aca="false">Cours_Bruts!A334</f>
        <v>45735</v>
      </c>
      <c r="B334" s="18" t="str">
        <f aca="false">Cours_Bruts!B334</f>
        <v>SAN</v>
      </c>
      <c r="C334" s="19" t="n">
        <f aca="false">Cours_Bruts!C334</f>
        <v>88.42</v>
      </c>
      <c r="D334" s="20" t="n">
        <f aca="false">IF(B334=B333,(C334-C333)/C333,"")</f>
        <v>-0.00896659941717101</v>
      </c>
      <c r="E334" s="20" t="n">
        <f aca="false">IF(B334=B333,(1+E333)*(1+IF(D334="",0,D334))-1,0)</f>
        <v>-0.0175555555555555</v>
      </c>
      <c r="F334" s="21" t="n">
        <f aca="false">IF(B334=B333,MAX(F333,C334),C334)</f>
        <v>90.42</v>
      </c>
      <c r="G334" s="20" t="n">
        <f aca="false">(C334-F334)/F334</f>
        <v>-0.02211900022119</v>
      </c>
      <c r="H334" s="21" t="str">
        <f aca="true">IF(COUNTIFS($B$2:B334,B334)&gt;=20,AVERAGE(OFFSET(C334,-19,0,20,1)),"")</f>
        <v/>
      </c>
      <c r="I334" s="21" t="str">
        <f aca="true">IF(COUNTIFS($B$2:B334,B334)&gt;=50,AVERAGE(OFFSET(C334,-49,0,50,1)),"")</f>
        <v/>
      </c>
    </row>
    <row r="335" customFormat="false" ht="15" hidden="false" customHeight="false" outlineLevel="0" collapsed="false">
      <c r="A335" s="17" t="n">
        <f aca="false">Cours_Bruts!A335</f>
        <v>45736</v>
      </c>
      <c r="B335" s="18" t="str">
        <f aca="false">Cours_Bruts!B335</f>
        <v>SAN</v>
      </c>
      <c r="C335" s="19" t="n">
        <f aca="false">Cours_Bruts!C335</f>
        <v>87.89</v>
      </c>
      <c r="D335" s="20" t="n">
        <f aca="false">IF(B335=B334,(C335-C334)/C334,"")</f>
        <v>-0.00599411897760689</v>
      </c>
      <c r="E335" s="20" t="n">
        <f aca="false">IF(B335=B334,(1+E334)*(1+IF(D335="",0,D335))-1,0)</f>
        <v>-0.0234444444444445</v>
      </c>
      <c r="F335" s="21" t="n">
        <f aca="false">IF(B335=B334,MAX(F334,C335),C335)</f>
        <v>90.42</v>
      </c>
      <c r="G335" s="20" t="n">
        <f aca="false">(C335-F335)/F335</f>
        <v>-0.0279805352798054</v>
      </c>
      <c r="H335" s="21" t="str">
        <f aca="true">IF(COUNTIFS($B$2:B335,B335)&gt;=20,AVERAGE(OFFSET(C335,-19,0,20,1)),"")</f>
        <v/>
      </c>
      <c r="I335" s="21" t="str">
        <f aca="true">IF(COUNTIFS($B$2:B335,B335)&gt;=50,AVERAGE(OFFSET(C335,-49,0,50,1)),"")</f>
        <v/>
      </c>
    </row>
    <row r="336" customFormat="false" ht="15" hidden="false" customHeight="false" outlineLevel="0" collapsed="false">
      <c r="A336" s="17" t="n">
        <f aca="false">Cours_Bruts!A336</f>
        <v>45737</v>
      </c>
      <c r="B336" s="18" t="str">
        <f aca="false">Cours_Bruts!B336</f>
        <v>SAN</v>
      </c>
      <c r="C336" s="19" t="n">
        <f aca="false">Cours_Bruts!C336</f>
        <v>86.48</v>
      </c>
      <c r="D336" s="20" t="n">
        <f aca="false">IF(B336=B335,(C336-C335)/C335,"")</f>
        <v>-0.0160427807486631</v>
      </c>
      <c r="E336" s="20" t="n">
        <f aca="false">IF(B336=B335,(1+E335)*(1+IF(D336="",0,D336))-1,0)</f>
        <v>-0.0391111111111111</v>
      </c>
      <c r="F336" s="21" t="n">
        <f aca="false">IF(B336=B335,MAX(F335,C336),C336)</f>
        <v>90.42</v>
      </c>
      <c r="G336" s="20" t="n">
        <f aca="false">(C336-F336)/F336</f>
        <v>-0.0435744304357443</v>
      </c>
      <c r="H336" s="21" t="str">
        <f aca="true">IF(COUNTIFS($B$2:B336,B336)&gt;=20,AVERAGE(OFFSET(C336,-19,0,20,1)),"")</f>
        <v/>
      </c>
      <c r="I336" s="21" t="str">
        <f aca="true">IF(COUNTIFS($B$2:B336,B336)&gt;=50,AVERAGE(OFFSET(C336,-49,0,50,1)),"")</f>
        <v/>
      </c>
    </row>
    <row r="337" customFormat="false" ht="15" hidden="false" customHeight="false" outlineLevel="0" collapsed="false">
      <c r="A337" s="17" t="n">
        <f aca="false">Cours_Bruts!A337</f>
        <v>45740</v>
      </c>
      <c r="B337" s="18" t="str">
        <f aca="false">Cours_Bruts!B337</f>
        <v>SAN</v>
      </c>
      <c r="C337" s="19" t="n">
        <f aca="false">Cours_Bruts!C337</f>
        <v>86.32</v>
      </c>
      <c r="D337" s="20" t="n">
        <f aca="false">IF(B337=B336,(C337-C336)/C336,"")</f>
        <v>-0.00185013876040716</v>
      </c>
      <c r="E337" s="20" t="n">
        <f aca="false">IF(B337=B336,(1+E336)*(1+IF(D337="",0,D337))-1,0)</f>
        <v>-0.040888888888889</v>
      </c>
      <c r="F337" s="21" t="n">
        <f aca="false">IF(B337=B336,MAX(F336,C337),C337)</f>
        <v>90.42</v>
      </c>
      <c r="G337" s="20" t="n">
        <f aca="false">(C337-F337)/F337</f>
        <v>-0.0453439504534396</v>
      </c>
      <c r="H337" s="21" t="str">
        <f aca="true">IF(COUNTIFS($B$2:B337,B337)&gt;=20,AVERAGE(OFFSET(C337,-19,0,20,1)),"")</f>
        <v/>
      </c>
      <c r="I337" s="21" t="str">
        <f aca="true">IF(COUNTIFS($B$2:B337,B337)&gt;=50,AVERAGE(OFFSET(C337,-49,0,50,1)),"")</f>
        <v/>
      </c>
    </row>
    <row r="338" customFormat="false" ht="15" hidden="false" customHeight="false" outlineLevel="0" collapsed="false">
      <c r="A338" s="17" t="n">
        <f aca="false">Cours_Bruts!A338</f>
        <v>45741</v>
      </c>
      <c r="B338" s="18" t="str">
        <f aca="false">Cours_Bruts!B338</f>
        <v>SAN</v>
      </c>
      <c r="C338" s="19" t="n">
        <f aca="false">Cours_Bruts!C338</f>
        <v>86.4</v>
      </c>
      <c r="D338" s="20" t="n">
        <f aca="false">IF(B338=B337,(C338-C337)/C337,"")</f>
        <v>0.000926784059314325</v>
      </c>
      <c r="E338" s="20" t="n">
        <f aca="false">IF(B338=B337,(1+E337)*(1+IF(D338="",0,D338))-1,0)</f>
        <v>-0.0399999999999999</v>
      </c>
      <c r="F338" s="21" t="n">
        <f aca="false">IF(B338=B337,MAX(F337,C338),C338)</f>
        <v>90.42</v>
      </c>
      <c r="G338" s="20" t="n">
        <f aca="false">(C338-F338)/F338</f>
        <v>-0.0444591904445919</v>
      </c>
      <c r="H338" s="21" t="str">
        <f aca="true">IF(COUNTIFS($B$2:B338,B338)&gt;=20,AVERAGE(OFFSET(C338,-19,0,20,1)),"")</f>
        <v/>
      </c>
      <c r="I338" s="21" t="str">
        <f aca="true">IF(COUNTIFS($B$2:B338,B338)&gt;=50,AVERAGE(OFFSET(C338,-49,0,50,1)),"")</f>
        <v/>
      </c>
    </row>
    <row r="339" customFormat="false" ht="15" hidden="false" customHeight="false" outlineLevel="0" collapsed="false">
      <c r="A339" s="17" t="n">
        <f aca="false">Cours_Bruts!A339</f>
        <v>45742</v>
      </c>
      <c r="B339" s="18" t="str">
        <f aca="false">Cours_Bruts!B339</f>
        <v>SAN</v>
      </c>
      <c r="C339" s="19" t="n">
        <f aca="false">Cours_Bruts!C339</f>
        <v>84.19</v>
      </c>
      <c r="D339" s="20" t="n">
        <f aca="false">IF(B339=B338,(C339-C338)/C338,"")</f>
        <v>-0.0255787037037038</v>
      </c>
      <c r="E339" s="20" t="n">
        <f aca="false">IF(B339=B338,(1+E338)*(1+IF(D339="",0,D339))-1,0)</f>
        <v>-0.0645555555555555</v>
      </c>
      <c r="F339" s="21" t="n">
        <f aca="false">IF(B339=B338,MAX(F338,C339),C339)</f>
        <v>90.42</v>
      </c>
      <c r="G339" s="20" t="n">
        <f aca="false">(C339-F339)/F339</f>
        <v>-0.0689006856890069</v>
      </c>
      <c r="H339" s="21" t="str">
        <f aca="true">IF(COUNTIFS($B$2:B339,B339)&gt;=20,AVERAGE(OFFSET(C339,-19,0,20,1)),"")</f>
        <v/>
      </c>
      <c r="I339" s="21" t="str">
        <f aca="true">IF(COUNTIFS($B$2:B339,B339)&gt;=50,AVERAGE(OFFSET(C339,-49,0,50,1)),"")</f>
        <v/>
      </c>
    </row>
    <row r="340" customFormat="false" ht="15" hidden="false" customHeight="false" outlineLevel="0" collapsed="false">
      <c r="A340" s="17" t="n">
        <f aca="false">Cours_Bruts!A340</f>
        <v>45743</v>
      </c>
      <c r="B340" s="18" t="str">
        <f aca="false">Cours_Bruts!B340</f>
        <v>SAN</v>
      </c>
      <c r="C340" s="19" t="n">
        <f aca="false">Cours_Bruts!C340</f>
        <v>84.11</v>
      </c>
      <c r="D340" s="20" t="n">
        <f aca="false">IF(B340=B339,(C340-C339)/C339,"")</f>
        <v>-0.000950231618957101</v>
      </c>
      <c r="E340" s="20" t="n">
        <f aca="false">IF(B340=B339,(1+E339)*(1+IF(D340="",0,D340))-1,0)</f>
        <v>-0.0654444444444444</v>
      </c>
      <c r="F340" s="21" t="n">
        <f aca="false">IF(B340=B339,MAX(F339,C340),C340)</f>
        <v>90.42</v>
      </c>
      <c r="G340" s="20" t="n">
        <f aca="false">(C340-F340)/F340</f>
        <v>-0.0697854456978545</v>
      </c>
      <c r="H340" s="21" t="str">
        <f aca="true">IF(COUNTIFS($B$2:B340,B340)&gt;=20,AVERAGE(OFFSET(C340,-19,0,20,1)),"")</f>
        <v/>
      </c>
      <c r="I340" s="21" t="str">
        <f aca="true">IF(COUNTIFS($B$2:B340,B340)&gt;=50,AVERAGE(OFFSET(C340,-49,0,50,1)),"")</f>
        <v/>
      </c>
    </row>
    <row r="341" customFormat="false" ht="15" hidden="false" customHeight="false" outlineLevel="0" collapsed="false">
      <c r="A341" s="17" t="n">
        <f aca="false">Cours_Bruts!A341</f>
        <v>45744</v>
      </c>
      <c r="B341" s="18" t="str">
        <f aca="false">Cours_Bruts!B341</f>
        <v>SAN</v>
      </c>
      <c r="C341" s="19" t="n">
        <f aca="false">Cours_Bruts!C341</f>
        <v>84.18</v>
      </c>
      <c r="D341" s="20" t="n">
        <f aca="false">IF(B341=B340,(C341-C340)/C340,"")</f>
        <v>0.000832243490667072</v>
      </c>
      <c r="E341" s="20" t="n">
        <f aca="false">IF(B341=B340,(1+E340)*(1+IF(D341="",0,D341))-1,0)</f>
        <v>-0.0646666666666665</v>
      </c>
      <c r="F341" s="21" t="n">
        <f aca="false">IF(B341=B340,MAX(F340,C341),C341)</f>
        <v>90.42</v>
      </c>
      <c r="G341" s="20" t="n">
        <f aca="false">(C341-F341)/F341</f>
        <v>-0.0690112806901128</v>
      </c>
      <c r="H341" s="21" t="n">
        <f aca="true">IF(COUNTIFS($B$2:B341,B341)&gt;=20,AVERAGE(OFFSET(C341,-19,0,20,1)),"")</f>
        <v>87.746</v>
      </c>
      <c r="I341" s="21" t="str">
        <f aca="true">IF(COUNTIFS($B$2:B341,B341)&gt;=50,AVERAGE(OFFSET(C341,-49,0,50,1)),"")</f>
        <v/>
      </c>
    </row>
    <row r="342" customFormat="false" ht="15" hidden="false" customHeight="false" outlineLevel="0" collapsed="false">
      <c r="A342" s="17" t="n">
        <f aca="false">Cours_Bruts!A342</f>
        <v>45747</v>
      </c>
      <c r="B342" s="18" t="str">
        <f aca="false">Cours_Bruts!B342</f>
        <v>SAN</v>
      </c>
      <c r="C342" s="19" t="n">
        <f aca="false">Cours_Bruts!C342</f>
        <v>84.69</v>
      </c>
      <c r="D342" s="20" t="n">
        <f aca="false">IF(B342=B341,(C342-C341)/C341,"")</f>
        <v>0.00605844618674259</v>
      </c>
      <c r="E342" s="20" t="n">
        <f aca="false">IF(B342=B341,(1+E341)*(1+IF(D342="",0,D342))-1,0)</f>
        <v>-0.0589999999999999</v>
      </c>
      <c r="F342" s="21" t="n">
        <f aca="false">IF(B342=B341,MAX(F341,C342),C342)</f>
        <v>90.42</v>
      </c>
      <c r="G342" s="20" t="n">
        <f aca="false">(C342-F342)/F342</f>
        <v>-0.0633709356337094</v>
      </c>
      <c r="H342" s="21" t="n">
        <f aca="true">IF(COUNTIFS($B$2:B342,B342)&gt;=20,AVERAGE(OFFSET(C342,-19,0,20,1)),"")</f>
        <v>87.4805</v>
      </c>
      <c r="I342" s="21" t="str">
        <f aca="true">IF(COUNTIFS($B$2:B342,B342)&gt;=50,AVERAGE(OFFSET(C342,-49,0,50,1)),"")</f>
        <v/>
      </c>
    </row>
    <row r="343" customFormat="false" ht="15" hidden="false" customHeight="false" outlineLevel="0" collapsed="false">
      <c r="A343" s="17" t="n">
        <f aca="false">Cours_Bruts!A343</f>
        <v>45748</v>
      </c>
      <c r="B343" s="18" t="str">
        <f aca="false">Cours_Bruts!B343</f>
        <v>SAN</v>
      </c>
      <c r="C343" s="19" t="n">
        <f aca="false">Cours_Bruts!C343</f>
        <v>85.87</v>
      </c>
      <c r="D343" s="20" t="n">
        <f aca="false">IF(B343=B342,(C343-C342)/C342,"")</f>
        <v>0.0139331680245602</v>
      </c>
      <c r="E343" s="20" t="n">
        <f aca="false">IF(B343=B342,(1+E342)*(1+IF(D343="",0,D343))-1,0)</f>
        <v>-0.0458888888888888</v>
      </c>
      <c r="F343" s="21" t="n">
        <f aca="false">IF(B343=B342,MAX(F342,C343),C343)</f>
        <v>90.42</v>
      </c>
      <c r="G343" s="20" t="n">
        <f aca="false">(C343-F343)/F343</f>
        <v>-0.0503207255032072</v>
      </c>
      <c r="H343" s="21" t="n">
        <f aca="true">IF(COUNTIFS($B$2:B343,B343)&gt;=20,AVERAGE(OFFSET(C343,-19,0,20,1)),"")</f>
        <v>87.3465</v>
      </c>
      <c r="I343" s="21" t="str">
        <f aca="true">IF(COUNTIFS($B$2:B343,B343)&gt;=50,AVERAGE(OFFSET(C343,-49,0,50,1)),"")</f>
        <v/>
      </c>
    </row>
    <row r="344" customFormat="false" ht="15" hidden="false" customHeight="false" outlineLevel="0" collapsed="false">
      <c r="A344" s="17" t="n">
        <f aca="false">Cours_Bruts!A344</f>
        <v>45749</v>
      </c>
      <c r="B344" s="18" t="str">
        <f aca="false">Cours_Bruts!B344</f>
        <v>SAN</v>
      </c>
      <c r="C344" s="19" t="n">
        <f aca="false">Cours_Bruts!C344</f>
        <v>86.72</v>
      </c>
      <c r="D344" s="20" t="n">
        <f aca="false">IF(B344=B343,(C344-C343)/C343,"")</f>
        <v>0.00989868405729585</v>
      </c>
      <c r="E344" s="20" t="n">
        <f aca="false">IF(B344=B343,(1+E343)*(1+IF(D344="",0,D344))-1,0)</f>
        <v>-0.0364444444444444</v>
      </c>
      <c r="F344" s="21" t="n">
        <f aca="false">IF(B344=B343,MAX(F343,C344),C344)</f>
        <v>90.42</v>
      </c>
      <c r="G344" s="20" t="n">
        <f aca="false">(C344-F344)/F344</f>
        <v>-0.0409201504092015</v>
      </c>
      <c r="H344" s="21" t="n">
        <f aca="true">IF(COUNTIFS($B$2:B344,B344)&gt;=20,AVERAGE(OFFSET(C344,-19,0,20,1)),"")</f>
        <v>87.2595</v>
      </c>
      <c r="I344" s="21" t="str">
        <f aca="true">IF(COUNTIFS($B$2:B344,B344)&gt;=50,AVERAGE(OFFSET(C344,-49,0,50,1)),"")</f>
        <v/>
      </c>
    </row>
    <row r="345" customFormat="false" ht="15" hidden="false" customHeight="false" outlineLevel="0" collapsed="false">
      <c r="A345" s="17" t="n">
        <f aca="false">Cours_Bruts!A345</f>
        <v>45750</v>
      </c>
      <c r="B345" s="18" t="str">
        <f aca="false">Cours_Bruts!B345</f>
        <v>SAN</v>
      </c>
      <c r="C345" s="19" t="n">
        <f aca="false">Cours_Bruts!C345</f>
        <v>86.14</v>
      </c>
      <c r="D345" s="20" t="n">
        <f aca="false">IF(B345=B344,(C345-C344)/C344,"")</f>
        <v>-0.0066881918819188</v>
      </c>
      <c r="E345" s="20" t="n">
        <f aca="false">IF(B345=B344,(1+E344)*(1+IF(D345="",0,D345))-1,0)</f>
        <v>-0.0428888888888889</v>
      </c>
      <c r="F345" s="21" t="n">
        <f aca="false">IF(B345=B344,MAX(F344,C345),C345)</f>
        <v>90.42</v>
      </c>
      <c r="G345" s="20" t="n">
        <f aca="false">(C345-F345)/F345</f>
        <v>-0.0473346604733466</v>
      </c>
      <c r="H345" s="21" t="n">
        <f aca="true">IF(COUNTIFS($B$2:B345,B345)&gt;=20,AVERAGE(OFFSET(C345,-19,0,20,1)),"")</f>
        <v>87.1465</v>
      </c>
      <c r="I345" s="21" t="str">
        <f aca="true">IF(COUNTIFS($B$2:B345,B345)&gt;=50,AVERAGE(OFFSET(C345,-49,0,50,1)),"")</f>
        <v/>
      </c>
    </row>
    <row r="346" customFormat="false" ht="15" hidden="false" customHeight="false" outlineLevel="0" collapsed="false">
      <c r="A346" s="17" t="n">
        <f aca="false">Cours_Bruts!A346</f>
        <v>45751</v>
      </c>
      <c r="B346" s="18" t="str">
        <f aca="false">Cours_Bruts!B346</f>
        <v>SAN</v>
      </c>
      <c r="C346" s="19" t="n">
        <f aca="false">Cours_Bruts!C346</f>
        <v>85.44</v>
      </c>
      <c r="D346" s="20" t="n">
        <f aca="false">IF(B346=B345,(C346-C345)/C345,"")</f>
        <v>-0.00812630601346648</v>
      </c>
      <c r="E346" s="20" t="n">
        <f aca="false">IF(B346=B345,(1+E345)*(1+IF(D346="",0,D346))-1,0)</f>
        <v>-0.0506666666666668</v>
      </c>
      <c r="F346" s="21" t="n">
        <f aca="false">IF(B346=B345,MAX(F345,C346),C346)</f>
        <v>90.42</v>
      </c>
      <c r="G346" s="20" t="n">
        <f aca="false">(C346-F346)/F346</f>
        <v>-0.0550763105507632</v>
      </c>
      <c r="H346" s="21" t="n">
        <f aca="true">IF(COUNTIFS($B$2:B346,B346)&gt;=20,AVERAGE(OFFSET(C346,-19,0,20,1)),"")</f>
        <v>87.052</v>
      </c>
      <c r="I346" s="21" t="str">
        <f aca="true">IF(COUNTIFS($B$2:B346,B346)&gt;=50,AVERAGE(OFFSET(C346,-49,0,50,1)),"")</f>
        <v/>
      </c>
    </row>
    <row r="347" customFormat="false" ht="15" hidden="false" customHeight="false" outlineLevel="0" collapsed="false">
      <c r="A347" s="17" t="n">
        <f aca="false">Cours_Bruts!A347</f>
        <v>45754</v>
      </c>
      <c r="B347" s="18" t="str">
        <f aca="false">Cours_Bruts!B347</f>
        <v>SAN</v>
      </c>
      <c r="C347" s="19" t="n">
        <f aca="false">Cours_Bruts!C347</f>
        <v>86.03</v>
      </c>
      <c r="D347" s="20" t="n">
        <f aca="false">IF(B347=B346,(C347-C346)/C346,"")</f>
        <v>0.00690543071161053</v>
      </c>
      <c r="E347" s="20" t="n">
        <f aca="false">IF(B347=B346,(1+E346)*(1+IF(D347="",0,D347))-1,0)</f>
        <v>-0.0441111111111111</v>
      </c>
      <c r="F347" s="21" t="n">
        <f aca="false">IF(B347=B346,MAX(F346,C347),C347)</f>
        <v>90.42</v>
      </c>
      <c r="G347" s="20" t="n">
        <f aca="false">(C347-F347)/F347</f>
        <v>-0.0485512054855121</v>
      </c>
      <c r="H347" s="21" t="n">
        <f aca="true">IF(COUNTIFS($B$2:B347,B347)&gt;=20,AVERAGE(OFFSET(C347,-19,0,20,1)),"")</f>
        <v>86.962</v>
      </c>
      <c r="I347" s="21" t="str">
        <f aca="true">IF(COUNTIFS($B$2:B347,B347)&gt;=50,AVERAGE(OFFSET(C347,-49,0,50,1)),"")</f>
        <v/>
      </c>
    </row>
    <row r="348" customFormat="false" ht="15" hidden="false" customHeight="false" outlineLevel="0" collapsed="false">
      <c r="A348" s="17" t="n">
        <f aca="false">Cours_Bruts!A348</f>
        <v>45755</v>
      </c>
      <c r="B348" s="18" t="str">
        <f aca="false">Cours_Bruts!B348</f>
        <v>SAN</v>
      </c>
      <c r="C348" s="19" t="n">
        <f aca="false">Cours_Bruts!C348</f>
        <v>85.52</v>
      </c>
      <c r="D348" s="20" t="n">
        <f aca="false">IF(B348=B347,(C348-C347)/C347,"")</f>
        <v>-0.00592816459374643</v>
      </c>
      <c r="E348" s="20" t="n">
        <f aca="false">IF(B348=B347,(1+E347)*(1+IF(D348="",0,D348))-1,0)</f>
        <v>-0.0497777777777778</v>
      </c>
      <c r="F348" s="21" t="n">
        <f aca="false">IF(B348=B347,MAX(F347,C348),C348)</f>
        <v>90.42</v>
      </c>
      <c r="G348" s="20" t="n">
        <f aca="false">(C348-F348)/F348</f>
        <v>-0.0541915505419156</v>
      </c>
      <c r="H348" s="21" t="n">
        <f aca="true">IF(COUNTIFS($B$2:B348,B348)&gt;=20,AVERAGE(OFFSET(C348,-19,0,20,1)),"")</f>
        <v>86.808</v>
      </c>
      <c r="I348" s="21" t="str">
        <f aca="true">IF(COUNTIFS($B$2:B348,B348)&gt;=50,AVERAGE(OFFSET(C348,-49,0,50,1)),"")</f>
        <v/>
      </c>
    </row>
    <row r="349" customFormat="false" ht="15" hidden="false" customHeight="false" outlineLevel="0" collapsed="false">
      <c r="A349" s="17" t="n">
        <f aca="false">Cours_Bruts!A349</f>
        <v>45756</v>
      </c>
      <c r="B349" s="18" t="str">
        <f aca="false">Cours_Bruts!B349</f>
        <v>SAN</v>
      </c>
      <c r="C349" s="19" t="n">
        <f aca="false">Cours_Bruts!C349</f>
        <v>84.35</v>
      </c>
      <c r="D349" s="20" t="n">
        <f aca="false">IF(B349=B348,(C349-C348)/C348,"")</f>
        <v>-0.0136810102899907</v>
      </c>
      <c r="E349" s="20" t="n">
        <f aca="false">IF(B349=B348,(1+E348)*(1+IF(D349="",0,D349))-1,0)</f>
        <v>-0.0627777777777778</v>
      </c>
      <c r="F349" s="21" t="n">
        <f aca="false">IF(B349=B348,MAX(F348,C349),C349)</f>
        <v>90.42</v>
      </c>
      <c r="G349" s="20" t="n">
        <f aca="false">(C349-F349)/F349</f>
        <v>-0.0671311656713117</v>
      </c>
      <c r="H349" s="21" t="n">
        <f aca="true">IF(COUNTIFS($B$2:B349,B349)&gt;=20,AVERAGE(OFFSET(C349,-19,0,20,1)),"")</f>
        <v>86.609</v>
      </c>
      <c r="I349" s="21" t="str">
        <f aca="true">IF(COUNTIFS($B$2:B349,B349)&gt;=50,AVERAGE(OFFSET(C349,-49,0,50,1)),"")</f>
        <v/>
      </c>
    </row>
    <row r="350" customFormat="false" ht="15" hidden="false" customHeight="false" outlineLevel="0" collapsed="false">
      <c r="A350" s="17" t="n">
        <f aca="false">Cours_Bruts!A350</f>
        <v>45757</v>
      </c>
      <c r="B350" s="18" t="str">
        <f aca="false">Cours_Bruts!B350</f>
        <v>SAN</v>
      </c>
      <c r="C350" s="19" t="n">
        <f aca="false">Cours_Bruts!C350</f>
        <v>86.65</v>
      </c>
      <c r="D350" s="20" t="n">
        <f aca="false">IF(B350=B349,(C350-C349)/C349,"")</f>
        <v>0.0272673384706581</v>
      </c>
      <c r="E350" s="20" t="n">
        <f aca="false">IF(B350=B349,(1+E349)*(1+IF(D350="",0,D350))-1,0)</f>
        <v>-0.0372222222222222</v>
      </c>
      <c r="F350" s="21" t="n">
        <f aca="false">IF(B350=B349,MAX(F349,C350),C350)</f>
        <v>90.42</v>
      </c>
      <c r="G350" s="20" t="n">
        <f aca="false">(C350-F350)/F350</f>
        <v>-0.0416943154169431</v>
      </c>
      <c r="H350" s="21" t="n">
        <f aca="true">IF(COUNTIFS($B$2:B350,B350)&gt;=20,AVERAGE(OFFSET(C350,-19,0,20,1)),"")</f>
        <v>86.4205</v>
      </c>
      <c r="I350" s="21" t="str">
        <f aca="true">IF(COUNTIFS($B$2:B350,B350)&gt;=50,AVERAGE(OFFSET(C350,-49,0,50,1)),"")</f>
        <v/>
      </c>
    </row>
    <row r="351" customFormat="false" ht="15" hidden="false" customHeight="false" outlineLevel="0" collapsed="false">
      <c r="A351" s="17" t="n">
        <f aca="false">Cours_Bruts!A351</f>
        <v>45758</v>
      </c>
      <c r="B351" s="18" t="str">
        <f aca="false">Cours_Bruts!B351</f>
        <v>SAN</v>
      </c>
      <c r="C351" s="19" t="n">
        <f aca="false">Cours_Bruts!C351</f>
        <v>86.36</v>
      </c>
      <c r="D351" s="20" t="n">
        <f aca="false">IF(B351=B350,(C351-C350)/C350,"")</f>
        <v>-0.00334679746105027</v>
      </c>
      <c r="E351" s="20" t="n">
        <f aca="false">IF(B351=B350,(1+E350)*(1+IF(D351="",0,D351))-1,0)</f>
        <v>-0.0404444444444444</v>
      </c>
      <c r="F351" s="21" t="n">
        <f aca="false">IF(B351=B350,MAX(F350,C351),C351)</f>
        <v>90.42</v>
      </c>
      <c r="G351" s="20" t="n">
        <f aca="false">(C351-F351)/F351</f>
        <v>-0.0449015704490157</v>
      </c>
      <c r="H351" s="21" t="n">
        <f aca="true">IF(COUNTIFS($B$2:B351,B351)&gt;=20,AVERAGE(OFFSET(C351,-19,0,20,1)),"")</f>
        <v>86.233</v>
      </c>
      <c r="I351" s="21" t="str">
        <f aca="true">IF(COUNTIFS($B$2:B351,B351)&gt;=50,AVERAGE(OFFSET(C351,-49,0,50,1)),"")</f>
        <v/>
      </c>
    </row>
    <row r="352" customFormat="false" ht="15" hidden="false" customHeight="false" outlineLevel="0" collapsed="false">
      <c r="A352" s="17" t="n">
        <f aca="false">Cours_Bruts!A352</f>
        <v>45761</v>
      </c>
      <c r="B352" s="18" t="str">
        <f aca="false">Cours_Bruts!B352</f>
        <v>SAN</v>
      </c>
      <c r="C352" s="19" t="n">
        <f aca="false">Cours_Bruts!C352</f>
        <v>85.77</v>
      </c>
      <c r="D352" s="20" t="n">
        <f aca="false">IF(B352=B351,(C352-C351)/C351,"")</f>
        <v>-0.00683186660490972</v>
      </c>
      <c r="E352" s="20" t="n">
        <f aca="false">IF(B352=B351,(1+E351)*(1+IF(D352="",0,D352))-1,0)</f>
        <v>-0.047</v>
      </c>
      <c r="F352" s="21" t="n">
        <f aca="false">IF(B352=B351,MAX(F351,C352),C352)</f>
        <v>90.42</v>
      </c>
      <c r="G352" s="20" t="n">
        <f aca="false">(C352-F352)/F352</f>
        <v>-0.0514266755142668</v>
      </c>
      <c r="H352" s="21" t="n">
        <f aca="true">IF(COUNTIFS($B$2:B352,B352)&gt;=20,AVERAGE(OFFSET(C352,-19,0,20,1)),"")</f>
        <v>86.0375</v>
      </c>
      <c r="I352" s="21" t="str">
        <f aca="true">IF(COUNTIFS($B$2:B352,B352)&gt;=50,AVERAGE(OFFSET(C352,-49,0,50,1)),"")</f>
        <v/>
      </c>
    </row>
    <row r="353" customFormat="false" ht="15" hidden="false" customHeight="false" outlineLevel="0" collapsed="false">
      <c r="A353" s="17" t="n">
        <f aca="false">Cours_Bruts!A353</f>
        <v>45762</v>
      </c>
      <c r="B353" s="18" t="str">
        <f aca="false">Cours_Bruts!B353</f>
        <v>SAN</v>
      </c>
      <c r="C353" s="19" t="n">
        <f aca="false">Cours_Bruts!C353</f>
        <v>83.67</v>
      </c>
      <c r="D353" s="20" t="n">
        <f aca="false">IF(B353=B352,(C353-C352)/C352,"")</f>
        <v>-0.024484085344526</v>
      </c>
      <c r="E353" s="20" t="n">
        <f aca="false">IF(B353=B352,(1+E352)*(1+IF(D353="",0,D353))-1,0)</f>
        <v>-0.0703333333333333</v>
      </c>
      <c r="F353" s="21" t="n">
        <f aca="false">IF(B353=B352,MAX(F352,C353),C353)</f>
        <v>90.42</v>
      </c>
      <c r="G353" s="20" t="n">
        <f aca="false">(C353-F353)/F353</f>
        <v>-0.0746516257465163</v>
      </c>
      <c r="H353" s="21" t="n">
        <f aca="true">IF(COUNTIFS($B$2:B353,B353)&gt;=20,AVERAGE(OFFSET(C353,-19,0,20,1)),"")</f>
        <v>85.76</v>
      </c>
      <c r="I353" s="21" t="str">
        <f aca="true">IF(COUNTIFS($B$2:B353,B353)&gt;=50,AVERAGE(OFFSET(C353,-49,0,50,1)),"")</f>
        <v/>
      </c>
    </row>
    <row r="354" customFormat="false" ht="15" hidden="false" customHeight="false" outlineLevel="0" collapsed="false">
      <c r="A354" s="17" t="n">
        <f aca="false">Cours_Bruts!A354</f>
        <v>45763</v>
      </c>
      <c r="B354" s="18" t="str">
        <f aca="false">Cours_Bruts!B354</f>
        <v>SAN</v>
      </c>
      <c r="C354" s="19" t="n">
        <f aca="false">Cours_Bruts!C354</f>
        <v>84.5</v>
      </c>
      <c r="D354" s="20" t="n">
        <f aca="false">IF(B354=B353,(C354-C353)/C353,"")</f>
        <v>0.00991992350902352</v>
      </c>
      <c r="E354" s="20" t="n">
        <f aca="false">IF(B354=B353,(1+E353)*(1+IF(D354="",0,D354))-1,0)</f>
        <v>-0.0611111111111111</v>
      </c>
      <c r="F354" s="21" t="n">
        <f aca="false">IF(B354=B353,MAX(F353,C354),C354)</f>
        <v>90.42</v>
      </c>
      <c r="G354" s="20" t="n">
        <f aca="false">(C354-F354)/F354</f>
        <v>-0.0654722406547224</v>
      </c>
      <c r="H354" s="21" t="n">
        <f aca="true">IF(COUNTIFS($B$2:B354,B354)&gt;=20,AVERAGE(OFFSET(C354,-19,0,20,1)),"")</f>
        <v>85.564</v>
      </c>
      <c r="I354" s="21" t="str">
        <f aca="true">IF(COUNTIFS($B$2:B354,B354)&gt;=50,AVERAGE(OFFSET(C354,-49,0,50,1)),"")</f>
        <v/>
      </c>
    </row>
    <row r="355" customFormat="false" ht="15" hidden="false" customHeight="false" outlineLevel="0" collapsed="false">
      <c r="A355" s="17" t="n">
        <f aca="false">Cours_Bruts!A355</f>
        <v>45764</v>
      </c>
      <c r="B355" s="18" t="str">
        <f aca="false">Cours_Bruts!B355</f>
        <v>SAN</v>
      </c>
      <c r="C355" s="19" t="n">
        <f aca="false">Cours_Bruts!C355</f>
        <v>83.57</v>
      </c>
      <c r="D355" s="20" t="n">
        <f aca="false">IF(B355=B354,(C355-C354)/C354,"")</f>
        <v>-0.0110059171597634</v>
      </c>
      <c r="E355" s="20" t="n">
        <f aca="false">IF(B355=B354,(1+E354)*(1+IF(D355="",0,D355))-1,0)</f>
        <v>-0.0714444444444445</v>
      </c>
      <c r="F355" s="21" t="n">
        <f aca="false">IF(B355=B354,MAX(F354,C355),C355)</f>
        <v>90.42</v>
      </c>
      <c r="G355" s="20" t="n">
        <f aca="false">(C355-F355)/F355</f>
        <v>-0.0757575757575759</v>
      </c>
      <c r="H355" s="21" t="n">
        <f aca="true">IF(COUNTIFS($B$2:B355,B355)&gt;=20,AVERAGE(OFFSET(C355,-19,0,20,1)),"")</f>
        <v>85.348</v>
      </c>
      <c r="I355" s="21" t="str">
        <f aca="true">IF(COUNTIFS($B$2:B355,B355)&gt;=50,AVERAGE(OFFSET(C355,-49,0,50,1)),"")</f>
        <v/>
      </c>
    </row>
    <row r="356" customFormat="false" ht="15" hidden="false" customHeight="false" outlineLevel="0" collapsed="false">
      <c r="A356" s="17" t="n">
        <f aca="false">Cours_Bruts!A356</f>
        <v>45765</v>
      </c>
      <c r="B356" s="18" t="str">
        <f aca="false">Cours_Bruts!B356</f>
        <v>SAN</v>
      </c>
      <c r="C356" s="19" t="n">
        <f aca="false">Cours_Bruts!C356</f>
        <v>83.62</v>
      </c>
      <c r="D356" s="20" t="n">
        <f aca="false">IF(B356=B355,(C356-C355)/C355,"")</f>
        <v>0.000598300825655275</v>
      </c>
      <c r="E356" s="20" t="n">
        <f aca="false">IF(B356=B355,(1+E355)*(1+IF(D356="",0,D356))-1,0)</f>
        <v>-0.0708888888888888</v>
      </c>
      <c r="F356" s="21" t="n">
        <f aca="false">IF(B356=B355,MAX(F355,C356),C356)</f>
        <v>90.42</v>
      </c>
      <c r="G356" s="20" t="n">
        <f aca="false">(C356-F356)/F356</f>
        <v>-0.075204600752046</v>
      </c>
      <c r="H356" s="21" t="n">
        <f aca="true">IF(COUNTIFS($B$2:B356,B356)&gt;=20,AVERAGE(OFFSET(C356,-19,0,20,1)),"")</f>
        <v>85.205</v>
      </c>
      <c r="I356" s="21" t="str">
        <f aca="true">IF(COUNTIFS($B$2:B356,B356)&gt;=50,AVERAGE(OFFSET(C356,-49,0,50,1)),"")</f>
        <v/>
      </c>
    </row>
    <row r="357" customFormat="false" ht="15" hidden="false" customHeight="false" outlineLevel="0" collapsed="false">
      <c r="A357" s="17" t="n">
        <f aca="false">Cours_Bruts!A357</f>
        <v>45768</v>
      </c>
      <c r="B357" s="18" t="str">
        <f aca="false">Cours_Bruts!B357</f>
        <v>SAN</v>
      </c>
      <c r="C357" s="19" t="n">
        <f aca="false">Cours_Bruts!C357</f>
        <v>84.57</v>
      </c>
      <c r="D357" s="20" t="n">
        <f aca="false">IF(B357=B356,(C357-C356)/C356,"")</f>
        <v>0.0113609184405643</v>
      </c>
      <c r="E357" s="20" t="n">
        <f aca="false">IF(B357=B356,(1+E356)*(1+IF(D357="",0,D357))-1,0)</f>
        <v>-0.0603333333333334</v>
      </c>
      <c r="F357" s="21" t="n">
        <f aca="false">IF(B357=B356,MAX(F356,C357),C357)</f>
        <v>90.42</v>
      </c>
      <c r="G357" s="20" t="n">
        <f aca="false">(C357-F357)/F357</f>
        <v>-0.0646980756469809</v>
      </c>
      <c r="H357" s="21" t="n">
        <f aca="true">IF(COUNTIFS($B$2:B357,B357)&gt;=20,AVERAGE(OFFSET(C357,-19,0,20,1)),"")</f>
        <v>85.1175</v>
      </c>
      <c r="I357" s="21" t="str">
        <f aca="true">IF(COUNTIFS($B$2:B357,B357)&gt;=50,AVERAGE(OFFSET(C357,-49,0,50,1)),"")</f>
        <v/>
      </c>
    </row>
    <row r="358" customFormat="false" ht="15" hidden="false" customHeight="false" outlineLevel="0" collapsed="false">
      <c r="A358" s="17" t="n">
        <f aca="false">Cours_Bruts!A358</f>
        <v>45769</v>
      </c>
      <c r="B358" s="18" t="str">
        <f aca="false">Cours_Bruts!B358</f>
        <v>SAN</v>
      </c>
      <c r="C358" s="19" t="n">
        <f aca="false">Cours_Bruts!C358</f>
        <v>83.66</v>
      </c>
      <c r="D358" s="20" t="n">
        <f aca="false">IF(B358=B357,(C358-C357)/C357,"")</f>
        <v>-0.0107603168972448</v>
      </c>
      <c r="E358" s="20" t="n">
        <f aca="false">IF(B358=B357,(1+E357)*(1+IF(D358="",0,D358))-1,0)</f>
        <v>-0.0704444444444444</v>
      </c>
      <c r="F358" s="21" t="n">
        <f aca="false">IF(B358=B357,MAX(F357,C358),C358)</f>
        <v>90.42</v>
      </c>
      <c r="G358" s="20" t="n">
        <f aca="false">(C358-F358)/F358</f>
        <v>-0.0747622207476223</v>
      </c>
      <c r="H358" s="21" t="n">
        <f aca="true">IF(COUNTIFS($B$2:B358,B358)&gt;=20,AVERAGE(OFFSET(C358,-19,0,20,1)),"")</f>
        <v>84.9805</v>
      </c>
      <c r="I358" s="21" t="str">
        <f aca="true">IF(COUNTIFS($B$2:B358,B358)&gt;=50,AVERAGE(OFFSET(C358,-49,0,50,1)),"")</f>
        <v/>
      </c>
    </row>
    <row r="359" customFormat="false" ht="15" hidden="false" customHeight="false" outlineLevel="0" collapsed="false">
      <c r="A359" s="17" t="n">
        <f aca="false">Cours_Bruts!A359</f>
        <v>45770</v>
      </c>
      <c r="B359" s="18" t="str">
        <f aca="false">Cours_Bruts!B359</f>
        <v>SAN</v>
      </c>
      <c r="C359" s="19" t="n">
        <f aca="false">Cours_Bruts!C359</f>
        <v>83.76</v>
      </c>
      <c r="D359" s="20" t="n">
        <f aca="false">IF(B359=B358,(C359-C358)/C358,"")</f>
        <v>0.0011953143676788</v>
      </c>
      <c r="E359" s="20" t="n">
        <f aca="false">IF(B359=B358,(1+E358)*(1+IF(D359="",0,D359))-1,0)</f>
        <v>-0.0693333333333331</v>
      </c>
      <c r="F359" s="21" t="n">
        <f aca="false">IF(B359=B358,MAX(F358,C359),C359)</f>
        <v>90.42</v>
      </c>
      <c r="G359" s="20" t="n">
        <f aca="false">(C359-F359)/F359</f>
        <v>-0.0736562707365627</v>
      </c>
      <c r="H359" s="21" t="n">
        <f aca="true">IF(COUNTIFS($B$2:B359,B359)&gt;=20,AVERAGE(OFFSET(C359,-19,0,20,1)),"")</f>
        <v>84.959</v>
      </c>
      <c r="I359" s="21" t="str">
        <f aca="true">IF(COUNTIFS($B$2:B359,B359)&gt;=50,AVERAGE(OFFSET(C359,-49,0,50,1)),"")</f>
        <v/>
      </c>
    </row>
    <row r="360" customFormat="false" ht="15" hidden="false" customHeight="false" outlineLevel="0" collapsed="false">
      <c r="A360" s="17" t="n">
        <f aca="false">Cours_Bruts!A360</f>
        <v>45771</v>
      </c>
      <c r="B360" s="18" t="str">
        <f aca="false">Cours_Bruts!B360</f>
        <v>SAN</v>
      </c>
      <c r="C360" s="19" t="n">
        <f aca="false">Cours_Bruts!C360</f>
        <v>85.23</v>
      </c>
      <c r="D360" s="20" t="n">
        <f aca="false">IF(B360=B359,(C360-C359)/C359,"")</f>
        <v>0.0175501432664756</v>
      </c>
      <c r="E360" s="20" t="n">
        <f aca="false">IF(B360=B359,(1+E359)*(1+IF(D360="",0,D360))-1,0)</f>
        <v>-0.0529999999999999</v>
      </c>
      <c r="F360" s="21" t="n">
        <f aca="false">IF(B360=B359,MAX(F359,C360),C360)</f>
        <v>90.42</v>
      </c>
      <c r="G360" s="20" t="n">
        <f aca="false">(C360-F360)/F360</f>
        <v>-0.057398805573988</v>
      </c>
      <c r="H360" s="21" t="n">
        <f aca="true">IF(COUNTIFS($B$2:B360,B360)&gt;=20,AVERAGE(OFFSET(C360,-19,0,20,1)),"")</f>
        <v>85.015</v>
      </c>
      <c r="I360" s="21" t="str">
        <f aca="true">IF(COUNTIFS($B$2:B360,B360)&gt;=50,AVERAGE(OFFSET(C360,-49,0,50,1)),"")</f>
        <v/>
      </c>
    </row>
    <row r="361" customFormat="false" ht="15" hidden="false" customHeight="false" outlineLevel="0" collapsed="false">
      <c r="A361" s="17" t="n">
        <f aca="false">Cours_Bruts!A361</f>
        <v>45772</v>
      </c>
      <c r="B361" s="18" t="str">
        <f aca="false">Cours_Bruts!B361</f>
        <v>SAN</v>
      </c>
      <c r="C361" s="19" t="n">
        <f aca="false">Cours_Bruts!C361</f>
        <v>82.88</v>
      </c>
      <c r="D361" s="20" t="n">
        <f aca="false">IF(B361=B360,(C361-C360)/C360,"")</f>
        <v>-0.027572451014901</v>
      </c>
      <c r="E361" s="20" t="n">
        <f aca="false">IF(B361=B360,(1+E360)*(1+IF(D361="",0,D361))-1,0)</f>
        <v>-0.0791111111111111</v>
      </c>
      <c r="F361" s="21" t="n">
        <f aca="false">IF(B361=B360,MAX(F360,C361),C361)</f>
        <v>90.42</v>
      </c>
      <c r="G361" s="20" t="n">
        <f aca="false">(C361-F361)/F361</f>
        <v>-0.0833886308338864</v>
      </c>
      <c r="H361" s="21" t="n">
        <f aca="true">IF(COUNTIFS($B$2:B361,B361)&gt;=20,AVERAGE(OFFSET(C361,-19,0,20,1)),"")</f>
        <v>84.95</v>
      </c>
      <c r="I361" s="21" t="str">
        <f aca="true">IF(COUNTIFS($B$2:B361,B361)&gt;=50,AVERAGE(OFFSET(C361,-49,0,50,1)),"")</f>
        <v/>
      </c>
    </row>
    <row r="362" customFormat="false" ht="15" hidden="false" customHeight="false" outlineLevel="0" collapsed="false">
      <c r="A362" s="17" t="n">
        <f aca="false">Cours_Bruts!A362</f>
        <v>45775</v>
      </c>
      <c r="B362" s="18" t="str">
        <f aca="false">Cours_Bruts!B362</f>
        <v>SAN</v>
      </c>
      <c r="C362" s="19" t="n">
        <f aca="false">Cours_Bruts!C362</f>
        <v>82.14</v>
      </c>
      <c r="D362" s="20" t="n">
        <f aca="false">IF(B362=B361,(C362-C361)/C361,"")</f>
        <v>-0.00892857142857137</v>
      </c>
      <c r="E362" s="20" t="n">
        <f aca="false">IF(B362=B361,(1+E361)*(1+IF(D362="",0,D362))-1,0)</f>
        <v>-0.0873333333333334</v>
      </c>
      <c r="F362" s="21" t="n">
        <f aca="false">IF(B362=B361,MAX(F361,C362),C362)</f>
        <v>90.42</v>
      </c>
      <c r="G362" s="20" t="n">
        <f aca="false">(C362-F362)/F362</f>
        <v>-0.0915726609157266</v>
      </c>
      <c r="H362" s="21" t="n">
        <f aca="true">IF(COUNTIFS($B$2:B362,B362)&gt;=20,AVERAGE(OFFSET(C362,-19,0,20,1)),"")</f>
        <v>84.8225</v>
      </c>
      <c r="I362" s="21" t="str">
        <f aca="true">IF(COUNTIFS($B$2:B362,B362)&gt;=50,AVERAGE(OFFSET(C362,-49,0,50,1)),"")</f>
        <v/>
      </c>
    </row>
    <row r="363" customFormat="false" ht="15" hidden="false" customHeight="false" outlineLevel="0" collapsed="false">
      <c r="A363" s="17" t="n">
        <f aca="false">Cours_Bruts!A363</f>
        <v>45776</v>
      </c>
      <c r="B363" s="18" t="str">
        <f aca="false">Cours_Bruts!B363</f>
        <v>SAN</v>
      </c>
      <c r="C363" s="19" t="n">
        <f aca="false">Cours_Bruts!C363</f>
        <v>81.32</v>
      </c>
      <c r="D363" s="20" t="n">
        <f aca="false">IF(B363=B362,(C363-C362)/C362,"")</f>
        <v>-0.00998295592890196</v>
      </c>
      <c r="E363" s="20" t="n">
        <f aca="false">IF(B363=B362,(1+E362)*(1+IF(D363="",0,D363))-1,0)</f>
        <v>-0.0964444444444446</v>
      </c>
      <c r="F363" s="21" t="n">
        <f aca="false">IF(B363=B362,MAX(F362,C363),C363)</f>
        <v>90.42</v>
      </c>
      <c r="G363" s="20" t="n">
        <f aca="false">(C363-F363)/F363</f>
        <v>-0.100641451006415</v>
      </c>
      <c r="H363" s="21" t="n">
        <f aca="true">IF(COUNTIFS($B$2:B363,B363)&gt;=20,AVERAGE(OFFSET(C363,-19,0,20,1)),"")</f>
        <v>84.595</v>
      </c>
      <c r="I363" s="21" t="str">
        <f aca="true">IF(COUNTIFS($B$2:B363,B363)&gt;=50,AVERAGE(OFFSET(C363,-49,0,50,1)),"")</f>
        <v/>
      </c>
    </row>
    <row r="364" customFormat="false" ht="15" hidden="false" customHeight="false" outlineLevel="0" collapsed="false">
      <c r="A364" s="17" t="n">
        <f aca="false">Cours_Bruts!A364</f>
        <v>45777</v>
      </c>
      <c r="B364" s="18" t="str">
        <f aca="false">Cours_Bruts!B364</f>
        <v>SAN</v>
      </c>
      <c r="C364" s="19" t="n">
        <f aca="false">Cours_Bruts!C364</f>
        <v>81.17</v>
      </c>
      <c r="D364" s="20" t="n">
        <f aca="false">IF(B364=B363,(C364-C363)/C363,"")</f>
        <v>-0.00184456468273477</v>
      </c>
      <c r="E364" s="20" t="n">
        <f aca="false">IF(B364=B363,(1+E363)*(1+IF(D364="",0,D364))-1,0)</f>
        <v>-0.0981111111111112</v>
      </c>
      <c r="F364" s="21" t="n">
        <f aca="false">IF(B364=B363,MAX(F363,C364),C364)</f>
        <v>90.42</v>
      </c>
      <c r="G364" s="20" t="n">
        <f aca="false">(C364-F364)/F364</f>
        <v>-0.102300376023004</v>
      </c>
      <c r="H364" s="21" t="n">
        <f aca="true">IF(COUNTIFS($B$2:B364,B364)&gt;=20,AVERAGE(OFFSET(C364,-19,0,20,1)),"")</f>
        <v>84.3175</v>
      </c>
      <c r="I364" s="21" t="str">
        <f aca="true">IF(COUNTIFS($B$2:B364,B364)&gt;=50,AVERAGE(OFFSET(C364,-49,0,50,1)),"")</f>
        <v/>
      </c>
    </row>
    <row r="365" customFormat="false" ht="15" hidden="false" customHeight="false" outlineLevel="0" collapsed="false">
      <c r="A365" s="17" t="n">
        <f aca="false">Cours_Bruts!A365</f>
        <v>45778</v>
      </c>
      <c r="B365" s="18" t="str">
        <f aca="false">Cours_Bruts!B365</f>
        <v>SAN</v>
      </c>
      <c r="C365" s="19" t="n">
        <f aca="false">Cours_Bruts!C365</f>
        <v>81.15</v>
      </c>
      <c r="D365" s="20" t="n">
        <f aca="false">IF(B365=B364,(C365-C364)/C364,"")</f>
        <v>-0.000246396451891044</v>
      </c>
      <c r="E365" s="20" t="n">
        <f aca="false">IF(B365=B364,(1+E364)*(1+IF(D365="",0,D365))-1,0)</f>
        <v>-0.0983333333333334</v>
      </c>
      <c r="F365" s="21" t="n">
        <f aca="false">IF(B365=B364,MAX(F364,C365),C365)</f>
        <v>90.42</v>
      </c>
      <c r="G365" s="20" t="n">
        <f aca="false">(C365-F365)/F365</f>
        <v>-0.102521566025216</v>
      </c>
      <c r="H365" s="21" t="n">
        <f aca="true">IF(COUNTIFS($B$2:B365,B365)&gt;=20,AVERAGE(OFFSET(C365,-19,0,20,1)),"")</f>
        <v>84.068</v>
      </c>
      <c r="I365" s="21" t="str">
        <f aca="true">IF(COUNTIFS($B$2:B365,B365)&gt;=50,AVERAGE(OFFSET(C365,-49,0,50,1)),"")</f>
        <v/>
      </c>
    </row>
    <row r="366" customFormat="false" ht="15" hidden="false" customHeight="false" outlineLevel="0" collapsed="false">
      <c r="A366" s="17" t="n">
        <f aca="false">Cours_Bruts!A366</f>
        <v>45779</v>
      </c>
      <c r="B366" s="18" t="str">
        <f aca="false">Cours_Bruts!B366</f>
        <v>SAN</v>
      </c>
      <c r="C366" s="19" t="n">
        <f aca="false">Cours_Bruts!C366</f>
        <v>80.19</v>
      </c>
      <c r="D366" s="20" t="n">
        <f aca="false">IF(B366=B365,(C366-C365)/C365,"")</f>
        <v>-0.011829944547135</v>
      </c>
      <c r="E366" s="20" t="n">
        <f aca="false">IF(B366=B365,(1+E365)*(1+IF(D366="",0,D366))-1,0)</f>
        <v>-0.109</v>
      </c>
      <c r="F366" s="21" t="n">
        <f aca="false">IF(B366=B365,MAX(F365,C366),C366)</f>
        <v>90.42</v>
      </c>
      <c r="G366" s="20" t="n">
        <f aca="false">(C366-F366)/F366</f>
        <v>-0.113138686131387</v>
      </c>
      <c r="H366" s="21" t="n">
        <f aca="true">IF(COUNTIFS($B$2:B366,B366)&gt;=20,AVERAGE(OFFSET(C366,-19,0,20,1)),"")</f>
        <v>83.8055</v>
      </c>
      <c r="I366" s="21" t="str">
        <f aca="true">IF(COUNTIFS($B$2:B366,B366)&gt;=50,AVERAGE(OFFSET(C366,-49,0,50,1)),"")</f>
        <v/>
      </c>
    </row>
    <row r="367" customFormat="false" ht="15" hidden="false" customHeight="false" outlineLevel="0" collapsed="false">
      <c r="A367" s="17" t="n">
        <f aca="false">Cours_Bruts!A367</f>
        <v>45782</v>
      </c>
      <c r="B367" s="18" t="str">
        <f aca="false">Cours_Bruts!B367</f>
        <v>SAN</v>
      </c>
      <c r="C367" s="19" t="n">
        <f aca="false">Cours_Bruts!C367</f>
        <v>79.62</v>
      </c>
      <c r="D367" s="20" t="n">
        <f aca="false">IF(B367=B366,(C367-C366)/C366,"")</f>
        <v>-0.00710811821922925</v>
      </c>
      <c r="E367" s="20" t="n">
        <f aca="false">IF(B367=B366,(1+E366)*(1+IF(D367="",0,D367))-1,0)</f>
        <v>-0.115333333333333</v>
      </c>
      <c r="F367" s="21" t="n">
        <f aca="false">IF(B367=B366,MAX(F366,C367),C367)</f>
        <v>90.42</v>
      </c>
      <c r="G367" s="20" t="n">
        <f aca="false">(C367-F367)/F367</f>
        <v>-0.119442601194426</v>
      </c>
      <c r="H367" s="21" t="n">
        <f aca="true">IF(COUNTIFS($B$2:B367,B367)&gt;=20,AVERAGE(OFFSET(C367,-19,0,20,1)),"")</f>
        <v>83.485</v>
      </c>
      <c r="I367" s="21" t="str">
        <f aca="true">IF(COUNTIFS($B$2:B367,B367)&gt;=50,AVERAGE(OFFSET(C367,-49,0,50,1)),"")</f>
        <v/>
      </c>
    </row>
    <row r="368" customFormat="false" ht="15" hidden="false" customHeight="false" outlineLevel="0" collapsed="false">
      <c r="A368" s="17" t="n">
        <f aca="false">Cours_Bruts!A368</f>
        <v>45783</v>
      </c>
      <c r="B368" s="18" t="str">
        <f aca="false">Cours_Bruts!B368</f>
        <v>SAN</v>
      </c>
      <c r="C368" s="19" t="n">
        <f aca="false">Cours_Bruts!C368</f>
        <v>78.94</v>
      </c>
      <c r="D368" s="20" t="n">
        <f aca="false">IF(B368=B367,(C368-C367)/C367,"")</f>
        <v>-0.00854056769655874</v>
      </c>
      <c r="E368" s="20" t="n">
        <f aca="false">IF(B368=B367,(1+E367)*(1+IF(D368="",0,D368))-1,0)</f>
        <v>-0.122888888888889</v>
      </c>
      <c r="F368" s="21" t="n">
        <f aca="false">IF(B368=B367,MAX(F367,C368),C368)</f>
        <v>90.42</v>
      </c>
      <c r="G368" s="20" t="n">
        <f aca="false">(C368-F368)/F368</f>
        <v>-0.126963061269631</v>
      </c>
      <c r="H368" s="21" t="n">
        <f aca="true">IF(COUNTIFS($B$2:B368,B368)&gt;=20,AVERAGE(OFFSET(C368,-19,0,20,1)),"")</f>
        <v>83.156</v>
      </c>
      <c r="I368" s="21" t="str">
        <f aca="true">IF(COUNTIFS($B$2:B368,B368)&gt;=50,AVERAGE(OFFSET(C368,-49,0,50,1)),"")</f>
        <v/>
      </c>
    </row>
    <row r="369" customFormat="false" ht="15" hidden="false" customHeight="false" outlineLevel="0" collapsed="false">
      <c r="A369" s="17" t="n">
        <f aca="false">Cours_Bruts!A369</f>
        <v>45784</v>
      </c>
      <c r="B369" s="18" t="str">
        <f aca="false">Cours_Bruts!B369</f>
        <v>SAN</v>
      </c>
      <c r="C369" s="19" t="n">
        <f aca="false">Cours_Bruts!C369</f>
        <v>78.65</v>
      </c>
      <c r="D369" s="20" t="n">
        <f aca="false">IF(B369=B368,(C369-C368)/C368,"")</f>
        <v>-0.00367367620977948</v>
      </c>
      <c r="E369" s="20" t="n">
        <f aca="false">IF(B369=B368,(1+E368)*(1+IF(D369="",0,D369))-1,0)</f>
        <v>-0.126111111111111</v>
      </c>
      <c r="F369" s="21" t="n">
        <f aca="false">IF(B369=B368,MAX(F368,C369),C369)</f>
        <v>90.42</v>
      </c>
      <c r="G369" s="20" t="n">
        <f aca="false">(C369-F369)/F369</f>
        <v>-0.130170316301703</v>
      </c>
      <c r="H369" s="21" t="n">
        <f aca="true">IF(COUNTIFS($B$2:B369,B369)&gt;=20,AVERAGE(OFFSET(C369,-19,0,20,1)),"")</f>
        <v>82.871</v>
      </c>
      <c r="I369" s="21" t="str">
        <f aca="true">IF(COUNTIFS($B$2:B369,B369)&gt;=50,AVERAGE(OFFSET(C369,-49,0,50,1)),"")</f>
        <v/>
      </c>
    </row>
    <row r="370" customFormat="false" ht="15" hidden="false" customHeight="false" outlineLevel="0" collapsed="false">
      <c r="A370" s="17" t="n">
        <f aca="false">Cours_Bruts!A370</f>
        <v>45785</v>
      </c>
      <c r="B370" s="18" t="str">
        <f aca="false">Cours_Bruts!B370</f>
        <v>SAN</v>
      </c>
      <c r="C370" s="19" t="n">
        <f aca="false">Cours_Bruts!C370</f>
        <v>78.87</v>
      </c>
      <c r="D370" s="20" t="n">
        <f aca="false">IF(B370=B369,(C370-C369)/C369,"")</f>
        <v>0.00279720279720278</v>
      </c>
      <c r="E370" s="20" t="n">
        <f aca="false">IF(B370=B369,(1+E369)*(1+IF(D370="",0,D370))-1,0)</f>
        <v>-0.123666666666667</v>
      </c>
      <c r="F370" s="21" t="n">
        <f aca="false">IF(B370=B369,MAX(F369,C370),C370)</f>
        <v>90.42</v>
      </c>
      <c r="G370" s="20" t="n">
        <f aca="false">(C370-F370)/F370</f>
        <v>-0.127737226277372</v>
      </c>
      <c r="H370" s="21" t="n">
        <f aca="true">IF(COUNTIFS($B$2:B370,B370)&gt;=20,AVERAGE(OFFSET(C370,-19,0,20,1)),"")</f>
        <v>82.482</v>
      </c>
      <c r="I370" s="21" t="str">
        <f aca="true">IF(COUNTIFS($B$2:B370,B370)&gt;=50,AVERAGE(OFFSET(C370,-49,0,50,1)),"")</f>
        <v/>
      </c>
    </row>
    <row r="371" customFormat="false" ht="15" hidden="false" customHeight="false" outlineLevel="0" collapsed="false">
      <c r="A371" s="17" t="n">
        <f aca="false">Cours_Bruts!A371</f>
        <v>45786</v>
      </c>
      <c r="B371" s="18" t="str">
        <f aca="false">Cours_Bruts!B371</f>
        <v>SAN</v>
      </c>
      <c r="C371" s="19" t="n">
        <f aca="false">Cours_Bruts!C371</f>
        <v>79.7</v>
      </c>
      <c r="D371" s="20" t="n">
        <f aca="false">IF(B371=B370,(C371-C370)/C370,"")</f>
        <v>0.0105236465069101</v>
      </c>
      <c r="E371" s="20" t="n">
        <f aca="false">IF(B371=B370,(1+E370)*(1+IF(D371="",0,D371))-1,0)</f>
        <v>-0.114444444444445</v>
      </c>
      <c r="F371" s="21" t="n">
        <f aca="false">IF(B371=B370,MAX(F370,C371),C371)</f>
        <v>90.42</v>
      </c>
      <c r="G371" s="20" t="n">
        <f aca="false">(C371-F371)/F371</f>
        <v>-0.118557841185578</v>
      </c>
      <c r="H371" s="21" t="n">
        <f aca="true">IF(COUNTIFS($B$2:B371,B371)&gt;=20,AVERAGE(OFFSET(C371,-19,0,20,1)),"")</f>
        <v>82.149</v>
      </c>
      <c r="I371" s="21" t="n">
        <f aca="true">IF(COUNTIFS($B$2:B371,B371)&gt;=50,AVERAGE(OFFSET(C371,-49,0,50,1)),"")</f>
        <v>85.1134</v>
      </c>
    </row>
    <row r="372" customFormat="false" ht="15" hidden="false" customHeight="false" outlineLevel="0" collapsed="false">
      <c r="A372" s="17" t="n">
        <f aca="false">Cours_Bruts!A372</f>
        <v>45789</v>
      </c>
      <c r="B372" s="18" t="str">
        <f aca="false">Cours_Bruts!B372</f>
        <v>SAN</v>
      </c>
      <c r="C372" s="19" t="n">
        <f aca="false">Cours_Bruts!C372</f>
        <v>80.68</v>
      </c>
      <c r="D372" s="20" t="n">
        <f aca="false">IF(B372=B371,(C372-C371)/C371,"")</f>
        <v>0.0122961104140527</v>
      </c>
      <c r="E372" s="20" t="n">
        <f aca="false">IF(B372=B371,(1+E371)*(1+IF(D372="",0,D372))-1,0)</f>
        <v>-0.103555555555556</v>
      </c>
      <c r="F372" s="21" t="n">
        <f aca="false">IF(B372=B371,MAX(F371,C372),C372)</f>
        <v>90.42</v>
      </c>
      <c r="G372" s="20" t="n">
        <f aca="false">(C372-F372)/F372</f>
        <v>-0.107719531077195</v>
      </c>
      <c r="H372" s="21" t="n">
        <f aca="true">IF(COUNTIFS($B$2:B372,B372)&gt;=20,AVERAGE(OFFSET(C372,-19,0,20,1)),"")</f>
        <v>81.8945</v>
      </c>
      <c r="I372" s="21" t="n">
        <f aca="true">IF(COUNTIFS($B$2:B372,B372)&gt;=50,AVERAGE(OFFSET(C372,-49,0,50,1)),"")</f>
        <v>84.927</v>
      </c>
    </row>
    <row r="373" customFormat="false" ht="15" hidden="false" customHeight="false" outlineLevel="0" collapsed="false">
      <c r="A373" s="17" t="n">
        <f aca="false">Cours_Bruts!A373</f>
        <v>45790</v>
      </c>
      <c r="B373" s="18" t="str">
        <f aca="false">Cours_Bruts!B373</f>
        <v>SAN</v>
      </c>
      <c r="C373" s="19" t="n">
        <f aca="false">Cours_Bruts!C373</f>
        <v>81.3</v>
      </c>
      <c r="D373" s="20" t="n">
        <f aca="false">IF(B373=B372,(C373-C372)/C372,"")</f>
        <v>0.00768468021814564</v>
      </c>
      <c r="E373" s="20" t="n">
        <f aca="false">IF(B373=B372,(1+E372)*(1+IF(D373="",0,D373))-1,0)</f>
        <v>-0.096666666666667</v>
      </c>
      <c r="F373" s="21" t="n">
        <f aca="false">IF(B373=B372,MAX(F372,C373),C373)</f>
        <v>90.42</v>
      </c>
      <c r="G373" s="20" t="n">
        <f aca="false">(C373-F373)/F373</f>
        <v>-0.100862641008626</v>
      </c>
      <c r="H373" s="21" t="n">
        <f aca="true">IF(COUNTIFS($B$2:B373,B373)&gt;=20,AVERAGE(OFFSET(C373,-19,0,20,1)),"")</f>
        <v>81.776</v>
      </c>
      <c r="I373" s="21" t="n">
        <f aca="true">IF(COUNTIFS($B$2:B373,B373)&gt;=50,AVERAGE(OFFSET(C373,-49,0,50,1)),"")</f>
        <v>84.782</v>
      </c>
    </row>
    <row r="374" customFormat="false" ht="15" hidden="false" customHeight="false" outlineLevel="0" collapsed="false">
      <c r="A374" s="17" t="n">
        <f aca="false">Cours_Bruts!A374</f>
        <v>45791</v>
      </c>
      <c r="B374" s="18" t="str">
        <f aca="false">Cours_Bruts!B374</f>
        <v>SAN</v>
      </c>
      <c r="C374" s="19" t="n">
        <f aca="false">Cours_Bruts!C374</f>
        <v>80.52</v>
      </c>
      <c r="D374" s="20" t="n">
        <f aca="false">IF(B374=B373,(C374-C373)/C373,"")</f>
        <v>-0.00959409594095942</v>
      </c>
      <c r="E374" s="20" t="n">
        <f aca="false">IF(B374=B373,(1+E373)*(1+IF(D374="",0,D374))-1,0)</f>
        <v>-0.105333333333334</v>
      </c>
      <c r="F374" s="21" t="n">
        <f aca="false">IF(B374=B373,MAX(F373,C374),C374)</f>
        <v>90.42</v>
      </c>
      <c r="G374" s="20" t="n">
        <f aca="false">(C374-F374)/F374</f>
        <v>-0.109489051094891</v>
      </c>
      <c r="H374" s="21" t="n">
        <f aca="true">IF(COUNTIFS($B$2:B374,B374)&gt;=20,AVERAGE(OFFSET(C374,-19,0,20,1)),"")</f>
        <v>81.577</v>
      </c>
      <c r="I374" s="21" t="n">
        <f aca="true">IF(COUNTIFS($B$2:B374,B374)&gt;=50,AVERAGE(OFFSET(C374,-49,0,50,1)),"")</f>
        <v>84.6232</v>
      </c>
    </row>
    <row r="375" customFormat="false" ht="15" hidden="false" customHeight="false" outlineLevel="0" collapsed="false">
      <c r="A375" s="17" t="n">
        <f aca="false">Cours_Bruts!A375</f>
        <v>45792</v>
      </c>
      <c r="B375" s="18" t="str">
        <f aca="false">Cours_Bruts!B375</f>
        <v>SAN</v>
      </c>
      <c r="C375" s="19" t="n">
        <f aca="false">Cours_Bruts!C375</f>
        <v>80.54</v>
      </c>
      <c r="D375" s="20" t="n">
        <f aca="false">IF(B375=B374,(C375-C374)/C374,"")</f>
        <v>0.000248385494287261</v>
      </c>
      <c r="E375" s="20" t="n">
        <f aca="false">IF(B375=B374,(1+E374)*(1+IF(D375="",0,D375))-1,0)</f>
        <v>-0.105111111111111</v>
      </c>
      <c r="F375" s="21" t="n">
        <f aca="false">IF(B375=B374,MAX(F374,C375),C375)</f>
        <v>90.42</v>
      </c>
      <c r="G375" s="20" t="n">
        <f aca="false">(C375-F375)/F375</f>
        <v>-0.109267861092679</v>
      </c>
      <c r="H375" s="21" t="n">
        <f aca="true">IF(COUNTIFS($B$2:B375,B375)&gt;=20,AVERAGE(OFFSET(C375,-19,0,20,1)),"")</f>
        <v>81.4255</v>
      </c>
      <c r="I375" s="21" t="n">
        <f aca="true">IF(COUNTIFS($B$2:B375,B375)&gt;=50,AVERAGE(OFFSET(C375,-49,0,50,1)),"")</f>
        <v>84.466</v>
      </c>
    </row>
    <row r="376" customFormat="false" ht="15" hidden="false" customHeight="false" outlineLevel="0" collapsed="false">
      <c r="A376" s="17" t="n">
        <f aca="false">Cours_Bruts!A376</f>
        <v>45793</v>
      </c>
      <c r="B376" s="18" t="str">
        <f aca="false">Cours_Bruts!B376</f>
        <v>SAN</v>
      </c>
      <c r="C376" s="19" t="n">
        <f aca="false">Cours_Bruts!C376</f>
        <v>82.73</v>
      </c>
      <c r="D376" s="20" t="n">
        <f aca="false">IF(B376=B375,(C376-C375)/C375,"")</f>
        <v>0.0271914576607896</v>
      </c>
      <c r="E376" s="20" t="n">
        <f aca="false">IF(B376=B375,(1+E375)*(1+IF(D376="",0,D376))-1,0)</f>
        <v>-0.0807777777777781</v>
      </c>
      <c r="F376" s="21" t="n">
        <f aca="false">IF(B376=B375,MAX(F375,C376),C376)</f>
        <v>90.42</v>
      </c>
      <c r="G376" s="20" t="n">
        <f aca="false">(C376-F376)/F376</f>
        <v>-0.0850475558504755</v>
      </c>
      <c r="H376" s="21" t="n">
        <f aca="true">IF(COUNTIFS($B$2:B376,B376)&gt;=20,AVERAGE(OFFSET(C376,-19,0,20,1)),"")</f>
        <v>81.381</v>
      </c>
      <c r="I376" s="21" t="n">
        <f aca="true">IF(COUNTIFS($B$2:B376,B376)&gt;=50,AVERAGE(OFFSET(C376,-49,0,50,1)),"")</f>
        <v>84.374</v>
      </c>
    </row>
    <row r="377" customFormat="false" ht="15" hidden="false" customHeight="false" outlineLevel="0" collapsed="false">
      <c r="A377" s="17" t="n">
        <f aca="false">Cours_Bruts!A377</f>
        <v>45796</v>
      </c>
      <c r="B377" s="18" t="str">
        <f aca="false">Cours_Bruts!B377</f>
        <v>SAN</v>
      </c>
      <c r="C377" s="19" t="n">
        <f aca="false">Cours_Bruts!C377</f>
        <v>83.7</v>
      </c>
      <c r="D377" s="20" t="n">
        <f aca="false">IF(B377=B376,(C377-C376)/C376,"")</f>
        <v>0.0117248881904992</v>
      </c>
      <c r="E377" s="20" t="n">
        <f aca="false">IF(B377=B376,(1+E376)*(1+IF(D377="",0,D377))-1,0)</f>
        <v>-0.0700000000000003</v>
      </c>
      <c r="F377" s="21" t="n">
        <f aca="false">IF(B377=B376,MAX(F376,C377),C377)</f>
        <v>90.42</v>
      </c>
      <c r="G377" s="20" t="n">
        <f aca="false">(C377-F377)/F377</f>
        <v>-0.0743198407431984</v>
      </c>
      <c r="H377" s="21" t="n">
        <f aca="true">IF(COUNTIFS($B$2:B377,B377)&gt;=20,AVERAGE(OFFSET(C377,-19,0,20,1)),"")</f>
        <v>81.3375</v>
      </c>
      <c r="I377" s="21" t="n">
        <f aca="true">IF(COUNTIFS($B$2:B377,B377)&gt;=50,AVERAGE(OFFSET(C377,-49,0,50,1)),"")</f>
        <v>84.2914</v>
      </c>
    </row>
    <row r="378" customFormat="false" ht="15" hidden="false" customHeight="false" outlineLevel="0" collapsed="false">
      <c r="A378" s="17" t="n">
        <f aca="false">Cours_Bruts!A378</f>
        <v>45797</v>
      </c>
      <c r="B378" s="18" t="str">
        <f aca="false">Cours_Bruts!B378</f>
        <v>SAN</v>
      </c>
      <c r="C378" s="19" t="n">
        <f aca="false">Cours_Bruts!C378</f>
        <v>83.31</v>
      </c>
      <c r="D378" s="20" t="n">
        <f aca="false">IF(B378=B377,(C378-C377)/C377,"")</f>
        <v>-0.00465949820788531</v>
      </c>
      <c r="E378" s="20" t="n">
        <f aca="false">IF(B378=B377,(1+E377)*(1+IF(D378="",0,D378))-1,0)</f>
        <v>-0.0743333333333337</v>
      </c>
      <c r="F378" s="21" t="n">
        <f aca="false">IF(B378=B377,MAX(F377,C378),C378)</f>
        <v>90.42</v>
      </c>
      <c r="G378" s="20" t="n">
        <f aca="false">(C378-F378)/F378</f>
        <v>-0.0786330457863304</v>
      </c>
      <c r="H378" s="21" t="n">
        <f aca="true">IF(COUNTIFS($B$2:B378,B378)&gt;=20,AVERAGE(OFFSET(C378,-19,0,20,1)),"")</f>
        <v>81.32</v>
      </c>
      <c r="I378" s="21" t="n">
        <f aca="true">IF(COUNTIFS($B$2:B378,B378)&gt;=50,AVERAGE(OFFSET(C378,-49,0,50,1)),"")</f>
        <v>84.1856</v>
      </c>
    </row>
    <row r="379" customFormat="false" ht="15" hidden="false" customHeight="false" outlineLevel="0" collapsed="false">
      <c r="A379" s="17" t="n">
        <f aca="false">Cours_Bruts!A379</f>
        <v>45798</v>
      </c>
      <c r="B379" s="18" t="str">
        <f aca="false">Cours_Bruts!B379</f>
        <v>SAN</v>
      </c>
      <c r="C379" s="19" t="n">
        <f aca="false">Cours_Bruts!C379</f>
        <v>84.83</v>
      </c>
      <c r="D379" s="20" t="n">
        <f aca="false">IF(B379=B378,(C379-C378)/C378,"")</f>
        <v>0.0182451086304165</v>
      </c>
      <c r="E379" s="20" t="n">
        <f aca="false">IF(B379=B378,(1+E378)*(1+IF(D379="",0,D379))-1,0)</f>
        <v>-0.0574444444444449</v>
      </c>
      <c r="F379" s="21" t="n">
        <f aca="false">IF(B379=B378,MAX(F378,C379),C379)</f>
        <v>90.42</v>
      </c>
      <c r="G379" s="20" t="n">
        <f aca="false">(C379-F379)/F379</f>
        <v>-0.0618226056182261</v>
      </c>
      <c r="H379" s="21" t="n">
        <f aca="true">IF(COUNTIFS($B$2:B379,B379)&gt;=20,AVERAGE(OFFSET(C379,-19,0,20,1)),"")</f>
        <v>81.3735</v>
      </c>
      <c r="I379" s="21" t="n">
        <f aca="true">IF(COUNTIFS($B$2:B379,B379)&gt;=50,AVERAGE(OFFSET(C379,-49,0,50,1)),"")</f>
        <v>84.1156</v>
      </c>
    </row>
    <row r="380" customFormat="false" ht="15" hidden="false" customHeight="false" outlineLevel="0" collapsed="false">
      <c r="A380" s="17" t="n">
        <f aca="false">Cours_Bruts!A380</f>
        <v>45799</v>
      </c>
      <c r="B380" s="18" t="str">
        <f aca="false">Cours_Bruts!B380</f>
        <v>SAN</v>
      </c>
      <c r="C380" s="19" t="n">
        <f aca="false">Cours_Bruts!C380</f>
        <v>84.48</v>
      </c>
      <c r="D380" s="20" t="n">
        <f aca="false">IF(B380=B379,(C380-C379)/C379,"")</f>
        <v>-0.00412589885653654</v>
      </c>
      <c r="E380" s="20" t="n">
        <f aca="false">IF(B380=B379,(1+E379)*(1+IF(D380="",0,D380))-1,0)</f>
        <v>-0.0613333333333337</v>
      </c>
      <c r="F380" s="21" t="n">
        <f aca="false">IF(B380=B379,MAX(F379,C380),C380)</f>
        <v>90.42</v>
      </c>
      <c r="G380" s="20" t="n">
        <f aca="false">(C380-F380)/F380</f>
        <v>-0.0656934306569343</v>
      </c>
      <c r="H380" s="21" t="n">
        <f aca="true">IF(COUNTIFS($B$2:B380,B380)&gt;=20,AVERAGE(OFFSET(C380,-19,0,20,1)),"")</f>
        <v>81.336</v>
      </c>
      <c r="I380" s="21" t="n">
        <f aca="true">IF(COUNTIFS($B$2:B380,B380)&gt;=50,AVERAGE(OFFSET(C380,-49,0,50,1)),"")</f>
        <v>83.9968</v>
      </c>
    </row>
    <row r="381" customFormat="false" ht="15" hidden="false" customHeight="false" outlineLevel="0" collapsed="false">
      <c r="A381" s="17" t="n">
        <f aca="false">Cours_Bruts!A381</f>
        <v>45800</v>
      </c>
      <c r="B381" s="18" t="str">
        <f aca="false">Cours_Bruts!B381</f>
        <v>SAN</v>
      </c>
      <c r="C381" s="19" t="n">
        <f aca="false">Cours_Bruts!C381</f>
        <v>83.86</v>
      </c>
      <c r="D381" s="20" t="n">
        <f aca="false">IF(B381=B380,(C381-C380)/C380,"")</f>
        <v>-0.00733901515151521</v>
      </c>
      <c r="E381" s="20" t="n">
        <f aca="false">IF(B381=B380,(1+E380)*(1+IF(D381="",0,D381))-1,0)</f>
        <v>-0.0682222222222226</v>
      </c>
      <c r="F381" s="21" t="n">
        <f aca="false">IF(B381=B380,MAX(F380,C381),C381)</f>
        <v>90.42</v>
      </c>
      <c r="G381" s="20" t="n">
        <f aca="false">(C381-F381)/F381</f>
        <v>-0.0725503207255032</v>
      </c>
      <c r="H381" s="21" t="n">
        <f aca="true">IF(COUNTIFS($B$2:B381,B381)&gt;=20,AVERAGE(OFFSET(C381,-19,0,20,1)),"")</f>
        <v>81.385</v>
      </c>
      <c r="I381" s="21" t="n">
        <f aca="true">IF(COUNTIFS($B$2:B381,B381)&gt;=50,AVERAGE(OFFSET(C381,-49,0,50,1)),"")</f>
        <v>83.8718</v>
      </c>
    </row>
    <row r="382" customFormat="false" ht="15" hidden="false" customHeight="false" outlineLevel="0" collapsed="false">
      <c r="A382" s="17" t="n">
        <f aca="false">Cours_Bruts!A382</f>
        <v>45803</v>
      </c>
      <c r="B382" s="18" t="str">
        <f aca="false">Cours_Bruts!B382</f>
        <v>SAN</v>
      </c>
      <c r="C382" s="19" t="n">
        <f aca="false">Cours_Bruts!C382</f>
        <v>85.21</v>
      </c>
      <c r="D382" s="20" t="n">
        <f aca="false">IF(B382=B381,(C382-C381)/C381,"")</f>
        <v>0.0160982590031003</v>
      </c>
      <c r="E382" s="20" t="n">
        <f aca="false">IF(B382=B381,(1+E381)*(1+IF(D382="",0,D382))-1,0)</f>
        <v>-0.0532222222222228</v>
      </c>
      <c r="F382" s="21" t="n">
        <f aca="false">IF(B382=B381,MAX(F381,C382),C382)</f>
        <v>90.42</v>
      </c>
      <c r="G382" s="20" t="n">
        <f aca="false">(C382-F382)/F382</f>
        <v>-0.0576199955762</v>
      </c>
      <c r="H382" s="21" t="n">
        <f aca="true">IF(COUNTIFS($B$2:B382,B382)&gt;=20,AVERAGE(OFFSET(C382,-19,0,20,1)),"")</f>
        <v>81.5385</v>
      </c>
      <c r="I382" s="21" t="n">
        <f aca="true">IF(COUNTIFS($B$2:B382,B382)&gt;=50,AVERAGE(OFFSET(C382,-49,0,50,1)),"")</f>
        <v>83.7824</v>
      </c>
    </row>
    <row r="383" customFormat="false" ht="15" hidden="false" customHeight="false" outlineLevel="0" collapsed="false">
      <c r="A383" s="17" t="n">
        <f aca="false">Cours_Bruts!A383</f>
        <v>45804</v>
      </c>
      <c r="B383" s="18" t="str">
        <f aca="false">Cours_Bruts!B383</f>
        <v>SAN</v>
      </c>
      <c r="C383" s="19" t="n">
        <f aca="false">Cours_Bruts!C383</f>
        <v>83.97</v>
      </c>
      <c r="D383" s="20" t="n">
        <f aca="false">IF(B383=B382,(C383-C382)/C382,"")</f>
        <v>-0.0145522825959394</v>
      </c>
      <c r="E383" s="20" t="n">
        <f aca="false">IF(B383=B382,(1+E382)*(1+IF(D383="",0,D383))-1,0)</f>
        <v>-0.0670000000000006</v>
      </c>
      <c r="F383" s="21" t="n">
        <f aca="false">IF(B383=B382,MAX(F382,C383),C383)</f>
        <v>90.42</v>
      </c>
      <c r="G383" s="20" t="n">
        <f aca="false">(C383-F383)/F383</f>
        <v>-0.0713337757133378</v>
      </c>
      <c r="H383" s="21" t="n">
        <f aca="true">IF(COUNTIFS($B$2:B383,B383)&gt;=20,AVERAGE(OFFSET(C383,-19,0,20,1)),"")</f>
        <v>81.671</v>
      </c>
      <c r="I383" s="21" t="n">
        <f aca="true">IF(COUNTIFS($B$2:B383,B383)&gt;=50,AVERAGE(OFFSET(C383,-49,0,50,1)),"")</f>
        <v>83.6774</v>
      </c>
    </row>
    <row r="384" customFormat="false" ht="15" hidden="false" customHeight="false" outlineLevel="0" collapsed="false">
      <c r="A384" s="17" t="n">
        <f aca="false">Cours_Bruts!A384</f>
        <v>45805</v>
      </c>
      <c r="B384" s="18" t="str">
        <f aca="false">Cours_Bruts!B384</f>
        <v>SAN</v>
      </c>
      <c r="C384" s="19" t="n">
        <f aca="false">Cours_Bruts!C384</f>
        <v>82.17</v>
      </c>
      <c r="D384" s="20" t="n">
        <f aca="false">IF(B384=B383,(C384-C383)/C383,"")</f>
        <v>-0.0214362272240085</v>
      </c>
      <c r="E384" s="20" t="n">
        <f aca="false">IF(B384=B383,(1+E383)*(1+IF(D384="",0,D384))-1,0)</f>
        <v>-0.0870000000000005</v>
      </c>
      <c r="F384" s="21" t="n">
        <f aca="false">IF(B384=B383,MAX(F383,C384),C384)</f>
        <v>90.42</v>
      </c>
      <c r="G384" s="20" t="n">
        <f aca="false">(C384-F384)/F384</f>
        <v>-0.0912408759124088</v>
      </c>
      <c r="H384" s="21" t="n">
        <f aca="true">IF(COUNTIFS($B$2:B384,B384)&gt;=20,AVERAGE(OFFSET(C384,-19,0,20,1)),"")</f>
        <v>81.721</v>
      </c>
      <c r="I384" s="21" t="n">
        <f aca="true">IF(COUNTIFS($B$2:B384,B384)&gt;=50,AVERAGE(OFFSET(C384,-49,0,50,1)),"")</f>
        <v>83.5524</v>
      </c>
    </row>
    <row r="385" customFormat="false" ht="15" hidden="false" customHeight="false" outlineLevel="0" collapsed="false">
      <c r="A385" s="17" t="n">
        <f aca="false">Cours_Bruts!A385</f>
        <v>45806</v>
      </c>
      <c r="B385" s="18" t="str">
        <f aca="false">Cours_Bruts!B385</f>
        <v>SAN</v>
      </c>
      <c r="C385" s="19" t="n">
        <f aca="false">Cours_Bruts!C385</f>
        <v>83.07</v>
      </c>
      <c r="D385" s="20" t="n">
        <f aca="false">IF(B385=B384,(C385-C384)/C384,"")</f>
        <v>0.0109529025191675</v>
      </c>
      <c r="E385" s="20" t="n">
        <f aca="false">IF(B385=B384,(1+E384)*(1+IF(D385="",0,D385))-1,0)</f>
        <v>-0.0770000000000006</v>
      </c>
      <c r="F385" s="21" t="n">
        <f aca="false">IF(B385=B384,MAX(F384,C385),C385)</f>
        <v>90.42</v>
      </c>
      <c r="G385" s="20" t="n">
        <f aca="false">(C385-F385)/F385</f>
        <v>-0.0812873258128734</v>
      </c>
      <c r="H385" s="21" t="n">
        <f aca="true">IF(COUNTIFS($B$2:B385,B385)&gt;=20,AVERAGE(OFFSET(C385,-19,0,20,1)),"")</f>
        <v>81.817</v>
      </c>
      <c r="I385" s="21" t="n">
        <f aca="true">IF(COUNTIFS($B$2:B385,B385)&gt;=50,AVERAGE(OFFSET(C385,-49,0,50,1)),"")</f>
        <v>83.456</v>
      </c>
    </row>
    <row r="386" customFormat="false" ht="15" hidden="false" customHeight="false" outlineLevel="0" collapsed="false">
      <c r="A386" s="17" t="n">
        <f aca="false">Cours_Bruts!A386</f>
        <v>45807</v>
      </c>
      <c r="B386" s="18" t="str">
        <f aca="false">Cours_Bruts!B386</f>
        <v>SAN</v>
      </c>
      <c r="C386" s="19" t="n">
        <f aca="false">Cours_Bruts!C386</f>
        <v>83.12</v>
      </c>
      <c r="D386" s="20" t="n">
        <f aca="false">IF(B386=B385,(C386-C385)/C385,"")</f>
        <v>0.000601902010352852</v>
      </c>
      <c r="E386" s="20" t="n">
        <f aca="false">IF(B386=B385,(1+E385)*(1+IF(D386="",0,D386))-1,0)</f>
        <v>-0.0764444444444449</v>
      </c>
      <c r="F386" s="21" t="n">
        <f aca="false">IF(B386=B385,MAX(F385,C386),C386)</f>
        <v>90.42</v>
      </c>
      <c r="G386" s="20" t="n">
        <f aca="false">(C386-F386)/F386</f>
        <v>-0.0807343508073435</v>
      </c>
      <c r="H386" s="21" t="n">
        <f aca="true">IF(COUNTIFS($B$2:B386,B386)&gt;=20,AVERAGE(OFFSET(C386,-19,0,20,1)),"")</f>
        <v>81.9635</v>
      </c>
      <c r="I386" s="21" t="n">
        <f aca="true">IF(COUNTIFS($B$2:B386,B386)&gt;=50,AVERAGE(OFFSET(C386,-49,0,50,1)),"")</f>
        <v>83.3888</v>
      </c>
    </row>
    <row r="387" customFormat="false" ht="15" hidden="false" customHeight="false" outlineLevel="0" collapsed="false">
      <c r="A387" s="17" t="n">
        <f aca="false">Cours_Bruts!A387</f>
        <v>45810</v>
      </c>
      <c r="B387" s="18" t="str">
        <f aca="false">Cours_Bruts!B387</f>
        <v>SAN</v>
      </c>
      <c r="C387" s="19" t="n">
        <f aca="false">Cours_Bruts!C387</f>
        <v>83.26</v>
      </c>
      <c r="D387" s="20" t="n">
        <f aca="false">IF(B387=B386,(C387-C386)/C386,"")</f>
        <v>0.00168431183830607</v>
      </c>
      <c r="E387" s="20" t="n">
        <f aca="false">IF(B387=B386,(1+E386)*(1+IF(D387="",0,D387))-1,0)</f>
        <v>-0.0748888888888893</v>
      </c>
      <c r="F387" s="21" t="n">
        <f aca="false">IF(B387=B386,MAX(F386,C387),C387)</f>
        <v>90.42</v>
      </c>
      <c r="G387" s="20" t="n">
        <f aca="false">(C387-F387)/F387</f>
        <v>-0.0791860207918602</v>
      </c>
      <c r="H387" s="21" t="n">
        <f aca="true">IF(COUNTIFS($B$2:B387,B387)&gt;=20,AVERAGE(OFFSET(C387,-19,0,20,1)),"")</f>
        <v>82.1455</v>
      </c>
      <c r="I387" s="21" t="n">
        <f aca="true">IF(COUNTIFS($B$2:B387,B387)&gt;=50,AVERAGE(OFFSET(C387,-49,0,50,1)),"")</f>
        <v>83.3276</v>
      </c>
    </row>
    <row r="388" customFormat="false" ht="15" hidden="false" customHeight="false" outlineLevel="0" collapsed="false">
      <c r="A388" s="17" t="n">
        <f aca="false">Cours_Bruts!A388</f>
        <v>45811</v>
      </c>
      <c r="B388" s="18" t="str">
        <f aca="false">Cours_Bruts!B388</f>
        <v>SAN</v>
      </c>
      <c r="C388" s="19" t="n">
        <f aca="false">Cours_Bruts!C388</f>
        <v>82.94</v>
      </c>
      <c r="D388" s="20" t="n">
        <f aca="false">IF(B388=B387,(C388-C387)/C387,"")</f>
        <v>-0.00384338217631525</v>
      </c>
      <c r="E388" s="20" t="n">
        <f aca="false">IF(B388=B387,(1+E387)*(1+IF(D388="",0,D388))-1,0)</f>
        <v>-0.0784444444444449</v>
      </c>
      <c r="F388" s="21" t="n">
        <f aca="false">IF(B388=B387,MAX(F387,C388),C388)</f>
        <v>90.42</v>
      </c>
      <c r="G388" s="20" t="n">
        <f aca="false">(C388-F388)/F388</f>
        <v>-0.0827250608272507</v>
      </c>
      <c r="H388" s="21" t="n">
        <f aca="true">IF(COUNTIFS($B$2:B388,B388)&gt;=20,AVERAGE(OFFSET(C388,-19,0,20,1)),"")</f>
        <v>82.3455</v>
      </c>
      <c r="I388" s="21" t="n">
        <f aca="true">IF(COUNTIFS($B$2:B388,B388)&gt;=50,AVERAGE(OFFSET(C388,-49,0,50,1)),"")</f>
        <v>83.2584</v>
      </c>
    </row>
    <row r="389" customFormat="false" ht="15" hidden="false" customHeight="false" outlineLevel="0" collapsed="false">
      <c r="A389" s="17" t="n">
        <f aca="false">Cours_Bruts!A389</f>
        <v>45812</v>
      </c>
      <c r="B389" s="18" t="str">
        <f aca="false">Cours_Bruts!B389</f>
        <v>SAN</v>
      </c>
      <c r="C389" s="19" t="n">
        <f aca="false">Cours_Bruts!C389</f>
        <v>82.74</v>
      </c>
      <c r="D389" s="20" t="n">
        <f aca="false">IF(B389=B388,(C389-C388)/C388,"")</f>
        <v>-0.00241138172172658</v>
      </c>
      <c r="E389" s="20" t="n">
        <f aca="false">IF(B389=B388,(1+E388)*(1+IF(D389="",0,D389))-1,0)</f>
        <v>-0.0806666666666671</v>
      </c>
      <c r="F389" s="21" t="n">
        <f aca="false">IF(B389=B388,MAX(F388,C389),C389)</f>
        <v>90.42</v>
      </c>
      <c r="G389" s="20" t="n">
        <f aca="false">(C389-F389)/F389</f>
        <v>-0.0849369608493697</v>
      </c>
      <c r="H389" s="21" t="n">
        <f aca="true">IF(COUNTIFS($B$2:B389,B389)&gt;=20,AVERAGE(OFFSET(C389,-19,0,20,1)),"")</f>
        <v>82.55</v>
      </c>
      <c r="I389" s="21" t="n">
        <f aca="true">IF(COUNTIFS($B$2:B389,B389)&gt;=50,AVERAGE(OFFSET(C389,-49,0,50,1)),"")</f>
        <v>83.2294</v>
      </c>
    </row>
    <row r="390" customFormat="false" ht="15" hidden="false" customHeight="false" outlineLevel="0" collapsed="false">
      <c r="A390" s="17" t="n">
        <f aca="false">Cours_Bruts!A390</f>
        <v>45813</v>
      </c>
      <c r="B390" s="18" t="str">
        <f aca="false">Cours_Bruts!B390</f>
        <v>SAN</v>
      </c>
      <c r="C390" s="19" t="n">
        <f aca="false">Cours_Bruts!C390</f>
        <v>82.33</v>
      </c>
      <c r="D390" s="20" t="n">
        <f aca="false">IF(B390=B389,(C390-C389)/C389,"")</f>
        <v>-0.00495528160502776</v>
      </c>
      <c r="E390" s="20" t="n">
        <f aca="false">IF(B390=B389,(1+E389)*(1+IF(D390="",0,D390))-1,0)</f>
        <v>-0.0852222222222226</v>
      </c>
      <c r="F390" s="21" t="n">
        <f aca="false">IF(B390=B389,MAX(F389,C390),C390)</f>
        <v>90.42</v>
      </c>
      <c r="G390" s="20" t="n">
        <f aca="false">(C390-F390)/F390</f>
        <v>-0.0894713558947136</v>
      </c>
      <c r="H390" s="21" t="n">
        <f aca="true">IF(COUNTIFS($B$2:B390,B390)&gt;=20,AVERAGE(OFFSET(C390,-19,0,20,1)),"")</f>
        <v>82.723</v>
      </c>
      <c r="I390" s="21" t="n">
        <f aca="true">IF(COUNTIFS($B$2:B390,B390)&gt;=50,AVERAGE(OFFSET(C390,-49,0,50,1)),"")</f>
        <v>83.1938</v>
      </c>
    </row>
    <row r="391" customFormat="false" ht="15" hidden="false" customHeight="false" outlineLevel="0" collapsed="false">
      <c r="A391" s="17" t="n">
        <f aca="false">Cours_Bruts!A391</f>
        <v>45814</v>
      </c>
      <c r="B391" s="18" t="str">
        <f aca="false">Cours_Bruts!B391</f>
        <v>SAN</v>
      </c>
      <c r="C391" s="19" t="n">
        <f aca="false">Cours_Bruts!C391</f>
        <v>81.77</v>
      </c>
      <c r="D391" s="20" t="n">
        <f aca="false">IF(B391=B390,(C391-C390)/C390,"")</f>
        <v>-0.00680189481355523</v>
      </c>
      <c r="E391" s="20" t="n">
        <f aca="false">IF(B391=B390,(1+E390)*(1+IF(D391="",0,D391))-1,0)</f>
        <v>-0.0914444444444449</v>
      </c>
      <c r="F391" s="21" t="n">
        <f aca="false">IF(B391=B390,MAX(F390,C391),C391)</f>
        <v>90.42</v>
      </c>
      <c r="G391" s="20" t="n">
        <f aca="false">(C391-F391)/F391</f>
        <v>-0.0956646759566468</v>
      </c>
      <c r="H391" s="21" t="n">
        <f aca="true">IF(COUNTIFS($B$2:B391,B391)&gt;=20,AVERAGE(OFFSET(C391,-19,0,20,1)),"")</f>
        <v>82.8265</v>
      </c>
      <c r="I391" s="21" t="n">
        <f aca="true">IF(COUNTIFS($B$2:B391,B391)&gt;=50,AVERAGE(OFFSET(C391,-49,0,50,1)),"")</f>
        <v>83.1456</v>
      </c>
    </row>
    <row r="392" customFormat="false" ht="15" hidden="false" customHeight="false" outlineLevel="0" collapsed="false">
      <c r="A392" s="17" t="n">
        <f aca="false">Cours_Bruts!A392</f>
        <v>45817</v>
      </c>
      <c r="B392" s="18" t="str">
        <f aca="false">Cours_Bruts!B392</f>
        <v>SAN</v>
      </c>
      <c r="C392" s="19" t="n">
        <f aca="false">Cours_Bruts!C392</f>
        <v>81.44</v>
      </c>
      <c r="D392" s="20" t="n">
        <f aca="false">IF(B392=B391,(C392-C391)/C391,"")</f>
        <v>-0.00403570991806284</v>
      </c>
      <c r="E392" s="20" t="n">
        <f aca="false">IF(B392=B391,(1+E391)*(1+IF(D392="",0,D392))-1,0)</f>
        <v>-0.0951111111111115</v>
      </c>
      <c r="F392" s="21" t="n">
        <f aca="false">IF(B392=B391,MAX(F391,C392),C392)</f>
        <v>90.42</v>
      </c>
      <c r="G392" s="20" t="n">
        <f aca="false">(C392-F392)/F392</f>
        <v>-0.0993143109931432</v>
      </c>
      <c r="H392" s="21" t="n">
        <f aca="true">IF(COUNTIFS($B$2:B392,B392)&gt;=20,AVERAGE(OFFSET(C392,-19,0,20,1)),"")</f>
        <v>82.8645</v>
      </c>
      <c r="I392" s="21" t="n">
        <f aca="true">IF(COUNTIFS($B$2:B392,B392)&gt;=50,AVERAGE(OFFSET(C392,-49,0,50,1)),"")</f>
        <v>83.0806</v>
      </c>
    </row>
    <row r="393" customFormat="false" ht="15" hidden="false" customHeight="false" outlineLevel="0" collapsed="false">
      <c r="A393" s="17" t="n">
        <f aca="false">Cours_Bruts!A393</f>
        <v>45818</v>
      </c>
      <c r="B393" s="18" t="str">
        <f aca="false">Cours_Bruts!B393</f>
        <v>SAN</v>
      </c>
      <c r="C393" s="19" t="n">
        <f aca="false">Cours_Bruts!C393</f>
        <v>81.08</v>
      </c>
      <c r="D393" s="20" t="n">
        <f aca="false">IF(B393=B392,(C393-C392)/C392,"")</f>
        <v>-0.00442043222003929</v>
      </c>
      <c r="E393" s="20" t="n">
        <f aca="false">IF(B393=B392,(1+E392)*(1+IF(D393="",0,D393))-1,0)</f>
        <v>-0.0991111111111115</v>
      </c>
      <c r="F393" s="21" t="n">
        <f aca="false">IF(B393=B392,MAX(F392,C393),C393)</f>
        <v>90.42</v>
      </c>
      <c r="G393" s="20" t="n">
        <f aca="false">(C393-F393)/F393</f>
        <v>-0.103295731032957</v>
      </c>
      <c r="H393" s="21" t="n">
        <f aca="true">IF(COUNTIFS($B$2:B393,B393)&gt;=20,AVERAGE(OFFSET(C393,-19,0,20,1)),"")</f>
        <v>82.8535</v>
      </c>
      <c r="I393" s="21" t="n">
        <f aca="true">IF(COUNTIFS($B$2:B393,B393)&gt;=50,AVERAGE(OFFSET(C393,-49,0,50,1)),"")</f>
        <v>82.9848</v>
      </c>
    </row>
    <row r="394" customFormat="false" ht="15" hidden="false" customHeight="false" outlineLevel="0" collapsed="false">
      <c r="A394" s="17" t="n">
        <f aca="false">Cours_Bruts!A394</f>
        <v>45819</v>
      </c>
      <c r="B394" s="18" t="str">
        <f aca="false">Cours_Bruts!B394</f>
        <v>SAN</v>
      </c>
      <c r="C394" s="19" t="n">
        <f aca="false">Cours_Bruts!C394</f>
        <v>80.34</v>
      </c>
      <c r="D394" s="20" t="n">
        <f aca="false">IF(B394=B393,(C394-C393)/C393,"")</f>
        <v>-0.00912678835717803</v>
      </c>
      <c r="E394" s="20" t="n">
        <f aca="false">IF(B394=B393,(1+E393)*(1+IF(D394="",0,D394))-1,0)</f>
        <v>-0.107333333333334</v>
      </c>
      <c r="F394" s="21" t="n">
        <f aca="false">IF(B394=B393,MAX(F393,C394),C394)</f>
        <v>90.42</v>
      </c>
      <c r="G394" s="20" t="n">
        <f aca="false">(C394-F394)/F394</f>
        <v>-0.111479761114798</v>
      </c>
      <c r="H394" s="21" t="n">
        <f aca="true">IF(COUNTIFS($B$2:B394,B394)&gt;=20,AVERAGE(OFFSET(C394,-19,0,20,1)),"")</f>
        <v>82.8445</v>
      </c>
      <c r="I394" s="21" t="n">
        <f aca="true">IF(COUNTIFS($B$2:B394,B394)&gt;=50,AVERAGE(OFFSET(C394,-49,0,50,1)),"")</f>
        <v>82.8572</v>
      </c>
    </row>
    <row r="395" customFormat="false" ht="15" hidden="false" customHeight="false" outlineLevel="0" collapsed="false">
      <c r="A395" s="17" t="n">
        <f aca="false">Cours_Bruts!A395</f>
        <v>45820</v>
      </c>
      <c r="B395" s="18" t="str">
        <f aca="false">Cours_Bruts!B395</f>
        <v>SAN</v>
      </c>
      <c r="C395" s="19" t="n">
        <f aca="false">Cours_Bruts!C395</f>
        <v>79.87</v>
      </c>
      <c r="D395" s="20" t="n">
        <f aca="false">IF(B395=B394,(C395-C394)/C394,"")</f>
        <v>-0.00585013691809807</v>
      </c>
      <c r="E395" s="20" t="n">
        <f aca="false">IF(B395=B394,(1+E394)*(1+IF(D395="",0,D395))-1,0)</f>
        <v>-0.112555555555556</v>
      </c>
      <c r="F395" s="21" t="n">
        <f aca="false">IF(B395=B394,MAX(F394,C395),C395)</f>
        <v>90.42</v>
      </c>
      <c r="G395" s="20" t="n">
        <f aca="false">(C395-F395)/F395</f>
        <v>-0.116677726166777</v>
      </c>
      <c r="H395" s="21" t="n">
        <f aca="true">IF(COUNTIFS($B$2:B395,B395)&gt;=20,AVERAGE(OFFSET(C395,-19,0,20,1)),"")</f>
        <v>82.811</v>
      </c>
      <c r="I395" s="21" t="n">
        <f aca="true">IF(COUNTIFS($B$2:B395,B395)&gt;=50,AVERAGE(OFFSET(C395,-49,0,50,1)),"")</f>
        <v>82.7318</v>
      </c>
    </row>
    <row r="396" customFormat="false" ht="15" hidden="false" customHeight="false" outlineLevel="0" collapsed="false">
      <c r="A396" s="17" t="n">
        <f aca="false">Cours_Bruts!A396</f>
        <v>45821</v>
      </c>
      <c r="B396" s="18" t="str">
        <f aca="false">Cours_Bruts!B396</f>
        <v>SAN</v>
      </c>
      <c r="C396" s="19" t="n">
        <f aca="false">Cours_Bruts!C396</f>
        <v>77.62</v>
      </c>
      <c r="D396" s="20" t="n">
        <f aca="false">IF(B396=B395,(C396-C395)/C395,"")</f>
        <v>-0.0281707775134594</v>
      </c>
      <c r="E396" s="20" t="n">
        <f aca="false">IF(B396=B395,(1+E395)*(1+IF(D396="",0,D396))-1,0)</f>
        <v>-0.137555555555556</v>
      </c>
      <c r="F396" s="21" t="n">
        <f aca="false">IF(B396=B395,MAX(F395,C396),C396)</f>
        <v>90.42</v>
      </c>
      <c r="G396" s="20" t="n">
        <f aca="false">(C396-F396)/F396</f>
        <v>-0.141561601415616</v>
      </c>
      <c r="H396" s="21" t="n">
        <f aca="true">IF(COUNTIFS($B$2:B396,B396)&gt;=20,AVERAGE(OFFSET(C396,-19,0,20,1)),"")</f>
        <v>82.5555</v>
      </c>
      <c r="I396" s="21" t="n">
        <f aca="true">IF(COUNTIFS($B$2:B396,B396)&gt;=50,AVERAGE(OFFSET(C396,-49,0,50,1)),"")</f>
        <v>82.5754</v>
      </c>
    </row>
    <row r="397" customFormat="false" ht="15" hidden="false" customHeight="false" outlineLevel="0" collapsed="false">
      <c r="A397" s="17" t="n">
        <f aca="false">Cours_Bruts!A397</f>
        <v>45824</v>
      </c>
      <c r="B397" s="18" t="str">
        <f aca="false">Cours_Bruts!B397</f>
        <v>SAN</v>
      </c>
      <c r="C397" s="19" t="n">
        <f aca="false">Cours_Bruts!C397</f>
        <v>78.25</v>
      </c>
      <c r="D397" s="20" t="n">
        <f aca="false">IF(B397=B396,(C397-C396)/C396,"")</f>
        <v>0.00811646482865235</v>
      </c>
      <c r="E397" s="20" t="n">
        <f aca="false">IF(B397=B396,(1+E396)*(1+IF(D397="",0,D397))-1,0)</f>
        <v>-0.130555555555556</v>
      </c>
      <c r="F397" s="21" t="n">
        <f aca="false">IF(B397=B396,MAX(F396,C397),C397)</f>
        <v>90.42</v>
      </c>
      <c r="G397" s="20" t="n">
        <f aca="false">(C397-F397)/F397</f>
        <v>-0.134594116345941</v>
      </c>
      <c r="H397" s="21" t="n">
        <f aca="true">IF(COUNTIFS($B$2:B397,B397)&gt;=20,AVERAGE(OFFSET(C397,-19,0,20,1)),"")</f>
        <v>82.283</v>
      </c>
      <c r="I397" s="21" t="n">
        <f aca="true">IF(COUNTIFS($B$2:B397,B397)&gt;=50,AVERAGE(OFFSET(C397,-49,0,50,1)),"")</f>
        <v>82.4198</v>
      </c>
    </row>
    <row r="398" customFormat="false" ht="15" hidden="false" customHeight="false" outlineLevel="0" collapsed="false">
      <c r="A398" s="17" t="n">
        <f aca="false">Cours_Bruts!A398</f>
        <v>45825</v>
      </c>
      <c r="B398" s="18" t="str">
        <f aca="false">Cours_Bruts!B398</f>
        <v>SAN</v>
      </c>
      <c r="C398" s="19" t="n">
        <f aca="false">Cours_Bruts!C398</f>
        <v>78.62</v>
      </c>
      <c r="D398" s="20" t="n">
        <f aca="false">IF(B398=B397,(C398-C397)/C397,"")</f>
        <v>0.00472843450479239</v>
      </c>
      <c r="E398" s="20" t="n">
        <f aca="false">IF(B398=B397,(1+E397)*(1+IF(D398="",0,D398))-1,0)</f>
        <v>-0.126444444444445</v>
      </c>
      <c r="F398" s="21" t="n">
        <f aca="false">IF(B398=B397,MAX(F397,C398),C398)</f>
        <v>90.42</v>
      </c>
      <c r="G398" s="20" t="n">
        <f aca="false">(C398-F398)/F398</f>
        <v>-0.130502101305021</v>
      </c>
      <c r="H398" s="21" t="n">
        <f aca="true">IF(COUNTIFS($B$2:B398,B398)&gt;=20,AVERAGE(OFFSET(C398,-19,0,20,1)),"")</f>
        <v>82.0485</v>
      </c>
      <c r="I398" s="21" t="n">
        <f aca="true">IF(COUNTIFS($B$2:B398,B398)&gt;=50,AVERAGE(OFFSET(C398,-49,0,50,1)),"")</f>
        <v>82.2818</v>
      </c>
    </row>
    <row r="399" customFormat="false" ht="15" hidden="false" customHeight="false" outlineLevel="0" collapsed="false">
      <c r="A399" s="17" t="n">
        <f aca="false">Cours_Bruts!A399</f>
        <v>45826</v>
      </c>
      <c r="B399" s="18" t="str">
        <f aca="false">Cours_Bruts!B399</f>
        <v>SAN</v>
      </c>
      <c r="C399" s="19" t="n">
        <f aca="false">Cours_Bruts!C399</f>
        <v>78.56</v>
      </c>
      <c r="D399" s="20" t="n">
        <f aca="false">IF(B399=B398,(C399-C398)/C398,"")</f>
        <v>-0.000763164589163092</v>
      </c>
      <c r="E399" s="20" t="n">
        <f aca="false">IF(B399=B398,(1+E398)*(1+IF(D399="",0,D399))-1,0)</f>
        <v>-0.127111111111112</v>
      </c>
      <c r="F399" s="21" t="n">
        <f aca="false">IF(B399=B398,MAX(F398,C399),C399)</f>
        <v>90.42</v>
      </c>
      <c r="G399" s="20" t="n">
        <f aca="false">(C399-F399)/F399</f>
        <v>-0.131165671311657</v>
      </c>
      <c r="H399" s="21" t="n">
        <f aca="true">IF(COUNTIFS($B$2:B399,B399)&gt;=20,AVERAGE(OFFSET(C399,-19,0,20,1)),"")</f>
        <v>81.735</v>
      </c>
      <c r="I399" s="21" t="n">
        <f aca="true">IF(COUNTIFS($B$2:B399,B399)&gt;=50,AVERAGE(OFFSET(C399,-49,0,50,1)),"")</f>
        <v>82.166</v>
      </c>
    </row>
    <row r="400" customFormat="false" ht="15" hidden="false" customHeight="false" outlineLevel="0" collapsed="false">
      <c r="A400" s="17" t="n">
        <f aca="false">Cours_Bruts!A400</f>
        <v>45827</v>
      </c>
      <c r="B400" s="18" t="str">
        <f aca="false">Cours_Bruts!B400</f>
        <v>SAN</v>
      </c>
      <c r="C400" s="19" t="n">
        <f aca="false">Cours_Bruts!C400</f>
        <v>78.8</v>
      </c>
      <c r="D400" s="20" t="n">
        <f aca="false">IF(B400=B399,(C400-C399)/C399,"")</f>
        <v>0.00305498981670055</v>
      </c>
      <c r="E400" s="20" t="n">
        <f aca="false">IF(B400=B399,(1+E399)*(1+IF(D400="",0,D400))-1,0)</f>
        <v>-0.124444444444445</v>
      </c>
      <c r="F400" s="21" t="n">
        <f aca="false">IF(B400=B399,MAX(F399,C400),C400)</f>
        <v>90.42</v>
      </c>
      <c r="G400" s="20" t="n">
        <f aca="false">(C400-F400)/F400</f>
        <v>-0.128511391285114</v>
      </c>
      <c r="H400" s="21" t="n">
        <f aca="true">IF(COUNTIFS($B$2:B400,B400)&gt;=20,AVERAGE(OFFSET(C400,-19,0,20,1)),"")</f>
        <v>81.451</v>
      </c>
      <c r="I400" s="21" t="n">
        <f aca="true">IF(COUNTIFS($B$2:B400,B400)&gt;=50,AVERAGE(OFFSET(C400,-49,0,50,1)),"")</f>
        <v>82.009</v>
      </c>
    </row>
    <row r="401" customFormat="false" ht="15" hidden="false" customHeight="false" outlineLevel="0" collapsed="false">
      <c r="A401" s="17" t="n">
        <f aca="false">Cours_Bruts!A401</f>
        <v>45828</v>
      </c>
      <c r="B401" s="18" t="str">
        <f aca="false">Cours_Bruts!B401</f>
        <v>SAN</v>
      </c>
      <c r="C401" s="19" t="n">
        <f aca="false">Cours_Bruts!C401</f>
        <v>79.06</v>
      </c>
      <c r="D401" s="20" t="n">
        <f aca="false">IF(B401=B400,(C401-C400)/C400,"")</f>
        <v>0.00329949238578687</v>
      </c>
      <c r="E401" s="20" t="n">
        <f aca="false">IF(B401=B400,(1+E400)*(1+IF(D401="",0,D401))-1,0)</f>
        <v>-0.121555555555556</v>
      </c>
      <c r="F401" s="21" t="n">
        <f aca="false">IF(B401=B400,MAX(F400,C401),C401)</f>
        <v>90.42</v>
      </c>
      <c r="G401" s="20" t="n">
        <f aca="false">(C401-F401)/F401</f>
        <v>-0.125635921256359</v>
      </c>
      <c r="H401" s="21" t="n">
        <f aca="true">IF(COUNTIFS($B$2:B401,B401)&gt;=20,AVERAGE(OFFSET(C401,-19,0,20,1)),"")</f>
        <v>81.211</v>
      </c>
      <c r="I401" s="21" t="n">
        <f aca="true">IF(COUNTIFS($B$2:B401,B401)&gt;=50,AVERAGE(OFFSET(C401,-49,0,50,1)),"")</f>
        <v>81.863</v>
      </c>
    </row>
    <row r="402" customFormat="false" ht="15" hidden="false" customHeight="false" outlineLevel="0" collapsed="false">
      <c r="A402" s="17" t="n">
        <f aca="false">Cours_Bruts!A402</f>
        <v>45719</v>
      </c>
      <c r="B402" s="18" t="str">
        <f aca="false">Cours_Bruts!B402</f>
        <v>JNJ</v>
      </c>
      <c r="C402" s="19" t="n">
        <f aca="false">Cours_Bruts!C402</f>
        <v>155</v>
      </c>
      <c r="D402" s="20" t="str">
        <f aca="false">IF(B402=B401,(C402-C401)/C401,"")</f>
        <v/>
      </c>
      <c r="E402" s="20" t="n">
        <f aca="false">IF(B402=B401,(1+E401)*(1+IF(D402="",0,D402))-1,0)</f>
        <v>0</v>
      </c>
      <c r="F402" s="21" t="n">
        <f aca="false">IF(B402=B401,MAX(F401,C402),C402)</f>
        <v>155</v>
      </c>
      <c r="G402" s="20" t="n">
        <f aca="false">(C402-F402)/F402</f>
        <v>0</v>
      </c>
      <c r="H402" s="21" t="str">
        <f aca="true">IF(COUNTIFS($B$2:B402,B402)&gt;=20,AVERAGE(OFFSET(C402,-19,0,20,1)),"")</f>
        <v/>
      </c>
      <c r="I402" s="21" t="str">
        <f aca="true">IF(COUNTIFS($B$2:B402,B402)&gt;=50,AVERAGE(OFFSET(C402,-49,0,50,1)),"")</f>
        <v/>
      </c>
    </row>
    <row r="403" customFormat="false" ht="15" hidden="false" customHeight="false" outlineLevel="0" collapsed="false">
      <c r="A403" s="17" t="n">
        <f aca="false">Cours_Bruts!A403</f>
        <v>45720</v>
      </c>
      <c r="B403" s="18" t="str">
        <f aca="false">Cours_Bruts!B403</f>
        <v>JNJ</v>
      </c>
      <c r="C403" s="19" t="n">
        <f aca="false">Cours_Bruts!C403</f>
        <v>154.39</v>
      </c>
      <c r="D403" s="20" t="n">
        <f aca="false">IF(B403=B402,(C403-C402)/C402,"")</f>
        <v>-0.00393548387096783</v>
      </c>
      <c r="E403" s="20" t="n">
        <f aca="false">IF(B403=B402,(1+E402)*(1+IF(D403="",0,D403))-1,0)</f>
        <v>-0.00393548387096787</v>
      </c>
      <c r="F403" s="21" t="n">
        <f aca="false">IF(B403=B402,MAX(F402,C403),C403)</f>
        <v>155</v>
      </c>
      <c r="G403" s="20" t="n">
        <f aca="false">(C403-F403)/F403</f>
        <v>-0.00393548387096783</v>
      </c>
      <c r="H403" s="21" t="str">
        <f aca="true">IF(COUNTIFS($B$2:B403,B403)&gt;=20,AVERAGE(OFFSET(C403,-19,0,20,1)),"")</f>
        <v/>
      </c>
      <c r="I403" s="21" t="str">
        <f aca="true">IF(COUNTIFS($B$2:B403,B403)&gt;=50,AVERAGE(OFFSET(C403,-49,0,50,1)),"")</f>
        <v/>
      </c>
    </row>
    <row r="404" customFormat="false" ht="15" hidden="false" customHeight="false" outlineLevel="0" collapsed="false">
      <c r="A404" s="17" t="n">
        <f aca="false">Cours_Bruts!A404</f>
        <v>45721</v>
      </c>
      <c r="B404" s="18" t="str">
        <f aca="false">Cours_Bruts!B404</f>
        <v>JNJ</v>
      </c>
      <c r="C404" s="19" t="n">
        <f aca="false">Cours_Bruts!C404</f>
        <v>153.67</v>
      </c>
      <c r="D404" s="20" t="n">
        <f aca="false">IF(B404=B403,(C404-C403)/C403,"")</f>
        <v>-0.00466351447632618</v>
      </c>
      <c r="E404" s="20" t="n">
        <f aca="false">IF(B404=B403,(1+E403)*(1+IF(D404="",0,D404))-1,0)</f>
        <v>-0.00858064516129042</v>
      </c>
      <c r="F404" s="21" t="n">
        <f aca="false">IF(B404=B403,MAX(F403,C404),C404)</f>
        <v>155</v>
      </c>
      <c r="G404" s="20" t="n">
        <f aca="false">(C404-F404)/F404</f>
        <v>-0.0085806451612904</v>
      </c>
      <c r="H404" s="21" t="str">
        <f aca="true">IF(COUNTIFS($B$2:B404,B404)&gt;=20,AVERAGE(OFFSET(C404,-19,0,20,1)),"")</f>
        <v/>
      </c>
      <c r="I404" s="21" t="str">
        <f aca="true">IF(COUNTIFS($B$2:B404,B404)&gt;=50,AVERAGE(OFFSET(C404,-49,0,50,1)),"")</f>
        <v/>
      </c>
    </row>
    <row r="405" customFormat="false" ht="15" hidden="false" customHeight="false" outlineLevel="0" collapsed="false">
      <c r="A405" s="17" t="n">
        <f aca="false">Cours_Bruts!A405</f>
        <v>45722</v>
      </c>
      <c r="B405" s="18" t="str">
        <f aca="false">Cours_Bruts!B405</f>
        <v>JNJ</v>
      </c>
      <c r="C405" s="19" t="n">
        <f aca="false">Cours_Bruts!C405</f>
        <v>153.04</v>
      </c>
      <c r="D405" s="20" t="n">
        <f aca="false">IF(B405=B404,(C405-C404)/C404,"")</f>
        <v>-0.00409969414980149</v>
      </c>
      <c r="E405" s="20" t="n">
        <f aca="false">IF(B405=B404,(1+E404)*(1+IF(D405="",0,D405))-1,0)</f>
        <v>-0.0126451612903227</v>
      </c>
      <c r="F405" s="21" t="n">
        <f aca="false">IF(B405=B404,MAX(F404,C405),C405)</f>
        <v>155</v>
      </c>
      <c r="G405" s="20" t="n">
        <f aca="false">(C405-F405)/F405</f>
        <v>-0.0126451612903226</v>
      </c>
      <c r="H405" s="21" t="str">
        <f aca="true">IF(COUNTIFS($B$2:B405,B405)&gt;=20,AVERAGE(OFFSET(C405,-19,0,20,1)),"")</f>
        <v/>
      </c>
      <c r="I405" s="21" t="str">
        <f aca="true">IF(COUNTIFS($B$2:B405,B405)&gt;=50,AVERAGE(OFFSET(C405,-49,0,50,1)),"")</f>
        <v/>
      </c>
    </row>
    <row r="406" customFormat="false" ht="15" hidden="false" customHeight="false" outlineLevel="0" collapsed="false">
      <c r="A406" s="17" t="n">
        <f aca="false">Cours_Bruts!A406</f>
        <v>45723</v>
      </c>
      <c r="B406" s="18" t="str">
        <f aca="false">Cours_Bruts!B406</f>
        <v>JNJ</v>
      </c>
      <c r="C406" s="19" t="n">
        <f aca="false">Cours_Bruts!C406</f>
        <v>153.68</v>
      </c>
      <c r="D406" s="20" t="n">
        <f aca="false">IF(B406=B405,(C406-C405)/C405,"")</f>
        <v>0.00418191322530067</v>
      </c>
      <c r="E406" s="20" t="n">
        <f aca="false">IF(B406=B405,(1+E405)*(1+IF(D406="",0,D406))-1,0)</f>
        <v>-0.00851612903225807</v>
      </c>
      <c r="F406" s="21" t="n">
        <f aca="false">IF(B406=B405,MAX(F405,C406),C406)</f>
        <v>155</v>
      </c>
      <c r="G406" s="20" t="n">
        <f aca="false">(C406-F406)/F406</f>
        <v>-0.00851612903225802</v>
      </c>
      <c r="H406" s="21" t="str">
        <f aca="true">IF(COUNTIFS($B$2:B406,B406)&gt;=20,AVERAGE(OFFSET(C406,-19,0,20,1)),"")</f>
        <v/>
      </c>
      <c r="I406" s="21" t="str">
        <f aca="true">IF(COUNTIFS($B$2:B406,B406)&gt;=50,AVERAGE(OFFSET(C406,-49,0,50,1)),"")</f>
        <v/>
      </c>
    </row>
    <row r="407" customFormat="false" ht="15" hidden="false" customHeight="false" outlineLevel="0" collapsed="false">
      <c r="A407" s="17" t="n">
        <f aca="false">Cours_Bruts!A407</f>
        <v>45726</v>
      </c>
      <c r="B407" s="18" t="str">
        <f aca="false">Cours_Bruts!B407</f>
        <v>JNJ</v>
      </c>
      <c r="C407" s="19" t="n">
        <f aca="false">Cours_Bruts!C407</f>
        <v>153.07</v>
      </c>
      <c r="D407" s="20" t="n">
        <f aca="false">IF(B407=B406,(C407-C406)/C406,"")</f>
        <v>-0.00396928682977625</v>
      </c>
      <c r="E407" s="20" t="n">
        <f aca="false">IF(B407=B406,(1+E406)*(1+IF(D407="",0,D407))-1,0)</f>
        <v>-0.0124516129032259</v>
      </c>
      <c r="F407" s="21" t="n">
        <f aca="false">IF(B407=B406,MAX(F406,C407),C407)</f>
        <v>155</v>
      </c>
      <c r="G407" s="20" t="n">
        <f aca="false">(C407-F407)/F407</f>
        <v>-0.0124516129032259</v>
      </c>
      <c r="H407" s="21" t="str">
        <f aca="true">IF(COUNTIFS($B$2:B407,B407)&gt;=20,AVERAGE(OFFSET(C407,-19,0,20,1)),"")</f>
        <v/>
      </c>
      <c r="I407" s="21" t="str">
        <f aca="true">IF(COUNTIFS($B$2:B407,B407)&gt;=50,AVERAGE(OFFSET(C407,-49,0,50,1)),"")</f>
        <v/>
      </c>
    </row>
    <row r="408" customFormat="false" ht="15" hidden="false" customHeight="false" outlineLevel="0" collapsed="false">
      <c r="A408" s="17" t="n">
        <f aca="false">Cours_Bruts!A408</f>
        <v>45727</v>
      </c>
      <c r="B408" s="18" t="str">
        <f aca="false">Cours_Bruts!B408</f>
        <v>JNJ</v>
      </c>
      <c r="C408" s="19" t="n">
        <f aca="false">Cours_Bruts!C408</f>
        <v>153.55</v>
      </c>
      <c r="D408" s="20" t="n">
        <f aca="false">IF(B408=B407,(C408-C407)/C407,"")</f>
        <v>0.00313582021297458</v>
      </c>
      <c r="E408" s="20" t="n">
        <f aca="false">IF(B408=B407,(1+E407)*(1+IF(D408="",0,D408))-1,0)</f>
        <v>-0.00935483870967746</v>
      </c>
      <c r="F408" s="21" t="n">
        <f aca="false">IF(B408=B407,MAX(F407,C408),C408)</f>
        <v>155</v>
      </c>
      <c r="G408" s="20" t="n">
        <f aca="false">(C408-F408)/F408</f>
        <v>-0.00935483870967735</v>
      </c>
      <c r="H408" s="21" t="str">
        <f aca="true">IF(COUNTIFS($B$2:B408,B408)&gt;=20,AVERAGE(OFFSET(C408,-19,0,20,1)),"")</f>
        <v/>
      </c>
      <c r="I408" s="21" t="str">
        <f aca="true">IF(COUNTIFS($B$2:B408,B408)&gt;=50,AVERAGE(OFFSET(C408,-49,0,50,1)),"")</f>
        <v/>
      </c>
    </row>
    <row r="409" customFormat="false" ht="15" hidden="false" customHeight="false" outlineLevel="0" collapsed="false">
      <c r="A409" s="17" t="n">
        <f aca="false">Cours_Bruts!A409</f>
        <v>45728</v>
      </c>
      <c r="B409" s="18" t="str">
        <f aca="false">Cours_Bruts!B409</f>
        <v>JNJ</v>
      </c>
      <c r="C409" s="19" t="n">
        <f aca="false">Cours_Bruts!C409</f>
        <v>156.8</v>
      </c>
      <c r="D409" s="20" t="n">
        <f aca="false">IF(B409=B408,(C409-C408)/C408,"")</f>
        <v>0.0211657440573103</v>
      </c>
      <c r="E409" s="20" t="n">
        <f aca="false">IF(B409=B408,(1+E408)*(1+IF(D409="",0,D409))-1,0)</f>
        <v>0.0116129032258063</v>
      </c>
      <c r="F409" s="21" t="n">
        <f aca="false">IF(B409=B408,MAX(F408,C409),C409)</f>
        <v>156.8</v>
      </c>
      <c r="G409" s="20" t="n">
        <f aca="false">(C409-F409)/F409</f>
        <v>0</v>
      </c>
      <c r="H409" s="21" t="str">
        <f aca="true">IF(COUNTIFS($B$2:B409,B409)&gt;=20,AVERAGE(OFFSET(C409,-19,0,20,1)),"")</f>
        <v/>
      </c>
      <c r="I409" s="21" t="str">
        <f aca="true">IF(COUNTIFS($B$2:B409,B409)&gt;=50,AVERAGE(OFFSET(C409,-49,0,50,1)),"")</f>
        <v/>
      </c>
    </row>
    <row r="410" customFormat="false" ht="15" hidden="false" customHeight="false" outlineLevel="0" collapsed="false">
      <c r="A410" s="17" t="n">
        <f aca="false">Cours_Bruts!A410</f>
        <v>45729</v>
      </c>
      <c r="B410" s="18" t="str">
        <f aca="false">Cours_Bruts!B410</f>
        <v>JNJ</v>
      </c>
      <c r="C410" s="19" t="n">
        <f aca="false">Cours_Bruts!C410</f>
        <v>158.21</v>
      </c>
      <c r="D410" s="20" t="n">
        <f aca="false">IF(B410=B409,(C410-C409)/C409,"")</f>
        <v>0.00899234693877549</v>
      </c>
      <c r="E410" s="20" t="n">
        <f aca="false">IF(B410=B409,(1+E409)*(1+IF(D410="",0,D410))-1,0)</f>
        <v>0.0207096774193547</v>
      </c>
      <c r="F410" s="21" t="n">
        <f aca="false">IF(B410=B409,MAX(F409,C410),C410)</f>
        <v>158.21</v>
      </c>
      <c r="G410" s="20" t="n">
        <f aca="false">(C410-F410)/F410</f>
        <v>0</v>
      </c>
      <c r="H410" s="21" t="str">
        <f aca="true">IF(COUNTIFS($B$2:B410,B410)&gt;=20,AVERAGE(OFFSET(C410,-19,0,20,1)),"")</f>
        <v/>
      </c>
      <c r="I410" s="21" t="str">
        <f aca="true">IF(COUNTIFS($B$2:B410,B410)&gt;=50,AVERAGE(OFFSET(C410,-49,0,50,1)),"")</f>
        <v/>
      </c>
    </row>
    <row r="411" customFormat="false" ht="15" hidden="false" customHeight="false" outlineLevel="0" collapsed="false">
      <c r="A411" s="17" t="n">
        <f aca="false">Cours_Bruts!A411</f>
        <v>45730</v>
      </c>
      <c r="B411" s="18" t="str">
        <f aca="false">Cours_Bruts!B411</f>
        <v>JNJ</v>
      </c>
      <c r="C411" s="19" t="n">
        <f aca="false">Cours_Bruts!C411</f>
        <v>157.73</v>
      </c>
      <c r="D411" s="20" t="n">
        <f aca="false">IF(B411=B410,(C411-C410)/C410,"")</f>
        <v>-0.00303394222868351</v>
      </c>
      <c r="E411" s="20" t="n">
        <f aca="false">IF(B411=B410,(1+E410)*(1+IF(D411="",0,D411))-1,0)</f>
        <v>0.0176129032258063</v>
      </c>
      <c r="F411" s="21" t="n">
        <f aca="false">IF(B411=B410,MAX(F410,C411),C411)</f>
        <v>158.21</v>
      </c>
      <c r="G411" s="20" t="n">
        <f aca="false">(C411-F411)/F411</f>
        <v>-0.00303394222868351</v>
      </c>
      <c r="H411" s="21" t="str">
        <f aca="true">IF(COUNTIFS($B$2:B411,B411)&gt;=20,AVERAGE(OFFSET(C411,-19,0,20,1)),"")</f>
        <v/>
      </c>
      <c r="I411" s="21" t="str">
        <f aca="true">IF(COUNTIFS($B$2:B411,B411)&gt;=50,AVERAGE(OFFSET(C411,-49,0,50,1)),"")</f>
        <v/>
      </c>
    </row>
    <row r="412" customFormat="false" ht="15" hidden="false" customHeight="false" outlineLevel="0" collapsed="false">
      <c r="A412" s="17" t="n">
        <f aca="false">Cours_Bruts!A412</f>
        <v>45733</v>
      </c>
      <c r="B412" s="18" t="str">
        <f aca="false">Cours_Bruts!B412</f>
        <v>JNJ</v>
      </c>
      <c r="C412" s="19" t="n">
        <f aca="false">Cours_Bruts!C412</f>
        <v>159.68</v>
      </c>
      <c r="D412" s="20" t="n">
        <f aca="false">IF(B412=B411,(C412-C411)/C411,"")</f>
        <v>0.0123628986242314</v>
      </c>
      <c r="E412" s="20" t="n">
        <f aca="false">IF(B412=B411,(1+E411)*(1+IF(D412="",0,D412))-1,0)</f>
        <v>0.0301935483870968</v>
      </c>
      <c r="F412" s="21" t="n">
        <f aca="false">IF(B412=B411,MAX(F411,C412),C412)</f>
        <v>159.68</v>
      </c>
      <c r="G412" s="20" t="n">
        <f aca="false">(C412-F412)/F412</f>
        <v>0</v>
      </c>
      <c r="H412" s="21" t="str">
        <f aca="true">IF(COUNTIFS($B$2:B412,B412)&gt;=20,AVERAGE(OFFSET(C412,-19,0,20,1)),"")</f>
        <v/>
      </c>
      <c r="I412" s="21" t="str">
        <f aca="true">IF(COUNTIFS($B$2:B412,B412)&gt;=50,AVERAGE(OFFSET(C412,-49,0,50,1)),"")</f>
        <v/>
      </c>
    </row>
    <row r="413" customFormat="false" ht="15" hidden="false" customHeight="false" outlineLevel="0" collapsed="false">
      <c r="A413" s="17" t="n">
        <f aca="false">Cours_Bruts!A413</f>
        <v>45734</v>
      </c>
      <c r="B413" s="18" t="str">
        <f aca="false">Cours_Bruts!B413</f>
        <v>JNJ</v>
      </c>
      <c r="C413" s="19" t="n">
        <f aca="false">Cours_Bruts!C413</f>
        <v>159.06</v>
      </c>
      <c r="D413" s="20" t="n">
        <f aca="false">IF(B413=B412,(C413-C412)/C412,"")</f>
        <v>-0.00388276553106215</v>
      </c>
      <c r="E413" s="20" t="n">
        <f aca="false">IF(B413=B412,(1+E412)*(1+IF(D413="",0,D413))-1,0)</f>
        <v>0.0261935483870968</v>
      </c>
      <c r="F413" s="21" t="n">
        <f aca="false">IF(B413=B412,MAX(F412,C413),C413)</f>
        <v>159.68</v>
      </c>
      <c r="G413" s="20" t="n">
        <f aca="false">(C413-F413)/F413</f>
        <v>-0.00388276553106215</v>
      </c>
      <c r="H413" s="21" t="str">
        <f aca="true">IF(COUNTIFS($B$2:B413,B413)&gt;=20,AVERAGE(OFFSET(C413,-19,0,20,1)),"")</f>
        <v/>
      </c>
      <c r="I413" s="21" t="str">
        <f aca="true">IF(COUNTIFS($B$2:B413,B413)&gt;=50,AVERAGE(OFFSET(C413,-49,0,50,1)),"")</f>
        <v/>
      </c>
    </row>
    <row r="414" customFormat="false" ht="15" hidden="false" customHeight="false" outlineLevel="0" collapsed="false">
      <c r="A414" s="17" t="n">
        <f aca="false">Cours_Bruts!A414</f>
        <v>45735</v>
      </c>
      <c r="B414" s="18" t="str">
        <f aca="false">Cours_Bruts!B414</f>
        <v>JNJ</v>
      </c>
      <c r="C414" s="19" t="n">
        <f aca="false">Cours_Bruts!C414</f>
        <v>155.83</v>
      </c>
      <c r="D414" s="20" t="n">
        <f aca="false">IF(B414=B413,(C414-C413)/C413,"")</f>
        <v>-0.0203068024644788</v>
      </c>
      <c r="E414" s="20" t="n">
        <f aca="false">IF(B414=B413,(1+E413)*(1+IF(D414="",0,D414))-1,0)</f>
        <v>0.00535483870967735</v>
      </c>
      <c r="F414" s="21" t="n">
        <f aca="false">IF(B414=B413,MAX(F413,C414),C414)</f>
        <v>159.68</v>
      </c>
      <c r="G414" s="20" t="n">
        <f aca="false">(C414-F414)/F414</f>
        <v>-0.0241107214428857</v>
      </c>
      <c r="H414" s="21" t="str">
        <f aca="true">IF(COUNTIFS($B$2:B414,B414)&gt;=20,AVERAGE(OFFSET(C414,-19,0,20,1)),"")</f>
        <v/>
      </c>
      <c r="I414" s="21" t="str">
        <f aca="true">IF(COUNTIFS($B$2:B414,B414)&gt;=50,AVERAGE(OFFSET(C414,-49,0,50,1)),"")</f>
        <v/>
      </c>
    </row>
    <row r="415" customFormat="false" ht="15" hidden="false" customHeight="false" outlineLevel="0" collapsed="false">
      <c r="A415" s="17" t="n">
        <f aca="false">Cours_Bruts!A415</f>
        <v>45736</v>
      </c>
      <c r="B415" s="18" t="str">
        <f aca="false">Cours_Bruts!B415</f>
        <v>JNJ</v>
      </c>
      <c r="C415" s="19" t="n">
        <f aca="false">Cours_Bruts!C415</f>
        <v>154.28</v>
      </c>
      <c r="D415" s="20" t="n">
        <f aca="false">IF(B415=B414,(C415-C414)/C414,"")</f>
        <v>-0.00994673682859534</v>
      </c>
      <c r="E415" s="20" t="n">
        <f aca="false">IF(B415=B414,(1+E414)*(1+IF(D415="",0,D415))-1,0)</f>
        <v>-0.00464516129032278</v>
      </c>
      <c r="F415" s="21" t="n">
        <f aca="false">IF(B415=B414,MAX(F414,C415),C415)</f>
        <v>159.68</v>
      </c>
      <c r="G415" s="20" t="n">
        <f aca="false">(C415-F415)/F415</f>
        <v>-0.0338176352705411</v>
      </c>
      <c r="H415" s="21" t="str">
        <f aca="true">IF(COUNTIFS($B$2:B415,B415)&gt;=20,AVERAGE(OFFSET(C415,-19,0,20,1)),"")</f>
        <v/>
      </c>
      <c r="I415" s="21" t="str">
        <f aca="true">IF(COUNTIFS($B$2:B415,B415)&gt;=50,AVERAGE(OFFSET(C415,-49,0,50,1)),"")</f>
        <v/>
      </c>
    </row>
    <row r="416" customFormat="false" ht="15" hidden="false" customHeight="false" outlineLevel="0" collapsed="false">
      <c r="A416" s="17" t="n">
        <f aca="false">Cours_Bruts!A416</f>
        <v>45737</v>
      </c>
      <c r="B416" s="18" t="str">
        <f aca="false">Cours_Bruts!B416</f>
        <v>JNJ</v>
      </c>
      <c r="C416" s="19" t="n">
        <f aca="false">Cours_Bruts!C416</f>
        <v>151.41</v>
      </c>
      <c r="D416" s="20" t="n">
        <f aca="false">IF(B416=B415,(C416-C415)/C415,"")</f>
        <v>-0.0186025408348458</v>
      </c>
      <c r="E416" s="20" t="n">
        <f aca="false">IF(B416=B415,(1+E415)*(1+IF(D416="",0,D416))-1,0)</f>
        <v>-0.0231612903225809</v>
      </c>
      <c r="F416" s="21" t="n">
        <f aca="false">IF(B416=B415,MAX(F415,C416),C416)</f>
        <v>159.68</v>
      </c>
      <c r="G416" s="20" t="n">
        <f aca="false">(C416-F416)/F416</f>
        <v>-0.0517910821643287</v>
      </c>
      <c r="H416" s="21" t="str">
        <f aca="true">IF(COUNTIFS($B$2:B416,B416)&gt;=20,AVERAGE(OFFSET(C416,-19,0,20,1)),"")</f>
        <v/>
      </c>
      <c r="I416" s="21" t="str">
        <f aca="true">IF(COUNTIFS($B$2:B416,B416)&gt;=50,AVERAGE(OFFSET(C416,-49,0,50,1)),"")</f>
        <v/>
      </c>
    </row>
    <row r="417" customFormat="false" ht="15" hidden="false" customHeight="false" outlineLevel="0" collapsed="false">
      <c r="A417" s="17" t="n">
        <f aca="false">Cours_Bruts!A417</f>
        <v>45740</v>
      </c>
      <c r="B417" s="18" t="str">
        <f aca="false">Cours_Bruts!B417</f>
        <v>JNJ</v>
      </c>
      <c r="C417" s="19" t="n">
        <f aca="false">Cours_Bruts!C417</f>
        <v>150.91</v>
      </c>
      <c r="D417" s="20" t="n">
        <f aca="false">IF(B417=B416,(C417-C416)/C416,"")</f>
        <v>-0.00330229179050261</v>
      </c>
      <c r="E417" s="20" t="n">
        <f aca="false">IF(B417=B416,(1+E416)*(1+IF(D417="",0,D417))-1,0)</f>
        <v>-0.0263870967741937</v>
      </c>
      <c r="F417" s="21" t="n">
        <f aca="false">IF(B417=B416,MAX(F416,C417),C417)</f>
        <v>159.68</v>
      </c>
      <c r="G417" s="20" t="n">
        <f aca="false">(C417-F417)/F417</f>
        <v>-0.0549223446893788</v>
      </c>
      <c r="H417" s="21" t="str">
        <f aca="true">IF(COUNTIFS($B$2:B417,B417)&gt;=20,AVERAGE(OFFSET(C417,-19,0,20,1)),"")</f>
        <v/>
      </c>
      <c r="I417" s="21" t="str">
        <f aca="true">IF(COUNTIFS($B$2:B417,B417)&gt;=50,AVERAGE(OFFSET(C417,-49,0,50,1)),"")</f>
        <v/>
      </c>
    </row>
    <row r="418" customFormat="false" ht="15" hidden="false" customHeight="false" outlineLevel="0" collapsed="false">
      <c r="A418" s="17" t="n">
        <f aca="false">Cours_Bruts!A418</f>
        <v>45741</v>
      </c>
      <c r="B418" s="18" t="str">
        <f aca="false">Cours_Bruts!B418</f>
        <v>JNJ</v>
      </c>
      <c r="C418" s="19" t="n">
        <f aca="false">Cours_Bruts!C418</f>
        <v>150.98</v>
      </c>
      <c r="D418" s="20" t="n">
        <f aca="false">IF(B418=B417,(C418-C417)/C417,"")</f>
        <v>0.000463852627393766</v>
      </c>
      <c r="E418" s="20" t="n">
        <f aca="false">IF(B418=B417,(1+E417)*(1+IF(D418="",0,D418))-1,0)</f>
        <v>-0.025935483870968</v>
      </c>
      <c r="F418" s="21" t="n">
        <f aca="false">IF(B418=B417,MAX(F417,C418),C418)</f>
        <v>159.68</v>
      </c>
      <c r="G418" s="20" t="n">
        <f aca="false">(C418-F418)/F418</f>
        <v>-0.0544839679358718</v>
      </c>
      <c r="H418" s="21" t="str">
        <f aca="true">IF(COUNTIFS($B$2:B418,B418)&gt;=20,AVERAGE(OFFSET(C418,-19,0,20,1)),"")</f>
        <v/>
      </c>
      <c r="I418" s="21" t="str">
        <f aca="true">IF(COUNTIFS($B$2:B418,B418)&gt;=50,AVERAGE(OFFSET(C418,-49,0,50,1)),"")</f>
        <v/>
      </c>
    </row>
    <row r="419" customFormat="false" ht="15" hidden="false" customHeight="false" outlineLevel="0" collapsed="false">
      <c r="A419" s="17" t="n">
        <f aca="false">Cours_Bruts!A419</f>
        <v>45742</v>
      </c>
      <c r="B419" s="18" t="str">
        <f aca="false">Cours_Bruts!B419</f>
        <v>JNJ</v>
      </c>
      <c r="C419" s="19" t="n">
        <f aca="false">Cours_Bruts!C419</f>
        <v>153.56</v>
      </c>
      <c r="D419" s="20" t="n">
        <f aca="false">IF(B419=B418,(C419-C418)/C418,"")</f>
        <v>0.0170883560736522</v>
      </c>
      <c r="E419" s="20" t="n">
        <f aca="false">IF(B419=B418,(1+E418)*(1+IF(D419="",0,D419))-1,0)</f>
        <v>-0.00929032258064544</v>
      </c>
      <c r="F419" s="21" t="n">
        <f aca="false">IF(B419=B418,MAX(F418,C419),C419)</f>
        <v>159.68</v>
      </c>
      <c r="G419" s="20" t="n">
        <f aca="false">(C419-F419)/F419</f>
        <v>-0.0383266533066133</v>
      </c>
      <c r="H419" s="21" t="str">
        <f aca="true">IF(COUNTIFS($B$2:B419,B419)&gt;=20,AVERAGE(OFFSET(C419,-19,0,20,1)),"")</f>
        <v/>
      </c>
      <c r="I419" s="21" t="str">
        <f aca="true">IF(COUNTIFS($B$2:B419,B419)&gt;=50,AVERAGE(OFFSET(C419,-49,0,50,1)),"")</f>
        <v/>
      </c>
    </row>
    <row r="420" customFormat="false" ht="15" hidden="false" customHeight="false" outlineLevel="0" collapsed="false">
      <c r="A420" s="17" t="n">
        <f aca="false">Cours_Bruts!A420</f>
        <v>45743</v>
      </c>
      <c r="B420" s="18" t="str">
        <f aca="false">Cours_Bruts!B420</f>
        <v>JNJ</v>
      </c>
      <c r="C420" s="19" t="n">
        <f aca="false">Cours_Bruts!C420</f>
        <v>154.1</v>
      </c>
      <c r="D420" s="20" t="n">
        <f aca="false">IF(B420=B419,(C420-C419)/C419,"")</f>
        <v>0.00351654076582438</v>
      </c>
      <c r="E420" s="20" t="n">
        <f aca="false">IF(B420=B419,(1+E419)*(1+IF(D420="",0,D420))-1,0)</f>
        <v>-0.0058064516129035</v>
      </c>
      <c r="F420" s="21" t="n">
        <f aca="false">IF(B420=B419,MAX(F419,C420),C420)</f>
        <v>159.68</v>
      </c>
      <c r="G420" s="20" t="n">
        <f aca="false">(C420-F420)/F420</f>
        <v>-0.0349448897795592</v>
      </c>
      <c r="H420" s="21" t="str">
        <f aca="true">IF(COUNTIFS($B$2:B420,B420)&gt;=20,AVERAGE(OFFSET(C420,-19,0,20,1)),"")</f>
        <v/>
      </c>
      <c r="I420" s="21" t="str">
        <f aca="true">IF(COUNTIFS($B$2:B420,B420)&gt;=50,AVERAGE(OFFSET(C420,-49,0,50,1)),"")</f>
        <v/>
      </c>
    </row>
    <row r="421" customFormat="false" ht="15" hidden="false" customHeight="false" outlineLevel="0" collapsed="false">
      <c r="A421" s="17" t="n">
        <f aca="false">Cours_Bruts!A421</f>
        <v>45744</v>
      </c>
      <c r="B421" s="18" t="str">
        <f aca="false">Cours_Bruts!B421</f>
        <v>JNJ</v>
      </c>
      <c r="C421" s="19" t="n">
        <f aca="false">Cours_Bruts!C421</f>
        <v>153.8</v>
      </c>
      <c r="D421" s="20" t="n">
        <f aca="false">IF(B421=B420,(C421-C420)/C420,"")</f>
        <v>-0.00194678780012968</v>
      </c>
      <c r="E421" s="20" t="n">
        <f aca="false">IF(B421=B420,(1+E420)*(1+IF(D421="",0,D421))-1,0)</f>
        <v>-0.00774193548387114</v>
      </c>
      <c r="F421" s="21" t="n">
        <f aca="false">IF(B421=B420,MAX(F420,C421),C421)</f>
        <v>159.68</v>
      </c>
      <c r="G421" s="20" t="n">
        <f aca="false">(C421-F421)/F421</f>
        <v>-0.0368236472945891</v>
      </c>
      <c r="H421" s="21" t="n">
        <f aca="true">IF(COUNTIFS($B$2:B421,B421)&gt;=20,AVERAGE(OFFSET(C421,-19,0,20,1)),"")</f>
        <v>154.6375</v>
      </c>
      <c r="I421" s="21" t="str">
        <f aca="true">IF(COUNTIFS($B$2:B421,B421)&gt;=50,AVERAGE(OFFSET(C421,-49,0,50,1)),"")</f>
        <v/>
      </c>
    </row>
    <row r="422" customFormat="false" ht="15" hidden="false" customHeight="false" outlineLevel="0" collapsed="false">
      <c r="A422" s="17" t="n">
        <f aca="false">Cours_Bruts!A422</f>
        <v>45747</v>
      </c>
      <c r="B422" s="18" t="str">
        <f aca="false">Cours_Bruts!B422</f>
        <v>JNJ</v>
      </c>
      <c r="C422" s="19" t="n">
        <f aca="false">Cours_Bruts!C422</f>
        <v>155.12</v>
      </c>
      <c r="D422" s="20" t="n">
        <f aca="false">IF(B422=B421,(C422-C421)/C421,"")</f>
        <v>0.00858257477243169</v>
      </c>
      <c r="E422" s="20" t="n">
        <f aca="false">IF(B422=B421,(1+E421)*(1+IF(D422="",0,D422))-1,0)</f>
        <v>0.000774193548386926</v>
      </c>
      <c r="F422" s="21" t="n">
        <f aca="false">IF(B422=B421,MAX(F421,C422),C422)</f>
        <v>159.68</v>
      </c>
      <c r="G422" s="20" t="n">
        <f aca="false">(C422-F422)/F422</f>
        <v>-0.0285571142284569</v>
      </c>
      <c r="H422" s="21" t="n">
        <f aca="true">IF(COUNTIFS($B$2:B422,B422)&gt;=20,AVERAGE(OFFSET(C422,-19,0,20,1)),"")</f>
        <v>154.6435</v>
      </c>
      <c r="I422" s="21" t="str">
        <f aca="true">IF(COUNTIFS($B$2:B422,B422)&gt;=50,AVERAGE(OFFSET(C422,-49,0,50,1)),"")</f>
        <v/>
      </c>
    </row>
    <row r="423" customFormat="false" ht="15" hidden="false" customHeight="false" outlineLevel="0" collapsed="false">
      <c r="A423" s="17" t="n">
        <f aca="false">Cours_Bruts!A423</f>
        <v>45748</v>
      </c>
      <c r="B423" s="18" t="str">
        <f aca="false">Cours_Bruts!B423</f>
        <v>JNJ</v>
      </c>
      <c r="C423" s="19" t="n">
        <f aca="false">Cours_Bruts!C423</f>
        <v>151.7</v>
      </c>
      <c r="D423" s="20" t="n">
        <f aca="false">IF(B423=B422,(C423-C422)/C422,"")</f>
        <v>-0.0220474471376999</v>
      </c>
      <c r="E423" s="20" t="n">
        <f aca="false">IF(B423=B422,(1+E422)*(1+IF(D423="",0,D423))-1,0)</f>
        <v>-0.0212903225806453</v>
      </c>
      <c r="F423" s="21" t="n">
        <f aca="false">IF(B423=B422,MAX(F422,C423),C423)</f>
        <v>159.68</v>
      </c>
      <c r="G423" s="20" t="n">
        <f aca="false">(C423-F423)/F423</f>
        <v>-0.0499749498997997</v>
      </c>
      <c r="H423" s="21" t="n">
        <f aca="true">IF(COUNTIFS($B$2:B423,B423)&gt;=20,AVERAGE(OFFSET(C423,-19,0,20,1)),"")</f>
        <v>154.509</v>
      </c>
      <c r="I423" s="21" t="str">
        <f aca="true">IF(COUNTIFS($B$2:B423,B423)&gt;=50,AVERAGE(OFFSET(C423,-49,0,50,1)),"")</f>
        <v/>
      </c>
    </row>
    <row r="424" customFormat="false" ht="15" hidden="false" customHeight="false" outlineLevel="0" collapsed="false">
      <c r="A424" s="17" t="n">
        <f aca="false">Cours_Bruts!A424</f>
        <v>45749</v>
      </c>
      <c r="B424" s="18" t="str">
        <f aca="false">Cours_Bruts!B424</f>
        <v>JNJ</v>
      </c>
      <c r="C424" s="19" t="n">
        <f aca="false">Cours_Bruts!C424</f>
        <v>152.1</v>
      </c>
      <c r="D424" s="20" t="n">
        <f aca="false">IF(B424=B423,(C424-C423)/C423,"")</f>
        <v>0.00263678312458804</v>
      </c>
      <c r="E424" s="20" t="n">
        <f aca="false">IF(B424=B423,(1+E423)*(1+IF(D424="",0,D424))-1,0)</f>
        <v>-0.0187096774193549</v>
      </c>
      <c r="F424" s="21" t="n">
        <f aca="false">IF(B424=B423,MAX(F423,C424),C424)</f>
        <v>159.68</v>
      </c>
      <c r="G424" s="20" t="n">
        <f aca="false">(C424-F424)/F424</f>
        <v>-0.0474699398797596</v>
      </c>
      <c r="H424" s="21" t="n">
        <f aca="true">IF(COUNTIFS($B$2:B424,B424)&gt;=20,AVERAGE(OFFSET(C424,-19,0,20,1)),"")</f>
        <v>154.4305</v>
      </c>
      <c r="I424" s="21" t="str">
        <f aca="true">IF(COUNTIFS($B$2:B424,B424)&gt;=50,AVERAGE(OFFSET(C424,-49,0,50,1)),"")</f>
        <v/>
      </c>
    </row>
    <row r="425" customFormat="false" ht="15" hidden="false" customHeight="false" outlineLevel="0" collapsed="false">
      <c r="A425" s="17" t="n">
        <f aca="false">Cours_Bruts!A425</f>
        <v>45750</v>
      </c>
      <c r="B425" s="18" t="str">
        <f aca="false">Cours_Bruts!B425</f>
        <v>JNJ</v>
      </c>
      <c r="C425" s="19" t="n">
        <f aca="false">Cours_Bruts!C425</f>
        <v>153.32</v>
      </c>
      <c r="D425" s="20" t="n">
        <f aca="false">IF(B425=B424,(C425-C424)/C424,"")</f>
        <v>0.00802103879026955</v>
      </c>
      <c r="E425" s="20" t="n">
        <f aca="false">IF(B425=B424,(1+E424)*(1+IF(D425="",0,D425))-1,0)</f>
        <v>-0.0108387096774195</v>
      </c>
      <c r="F425" s="21" t="n">
        <f aca="false">IF(B425=B424,MAX(F424,C425),C425)</f>
        <v>159.68</v>
      </c>
      <c r="G425" s="20" t="n">
        <f aca="false">(C425-F425)/F425</f>
        <v>-0.0398296593186374</v>
      </c>
      <c r="H425" s="21" t="n">
        <f aca="true">IF(COUNTIFS($B$2:B425,B425)&gt;=20,AVERAGE(OFFSET(C425,-19,0,20,1)),"")</f>
        <v>154.4445</v>
      </c>
      <c r="I425" s="21" t="str">
        <f aca="true">IF(COUNTIFS($B$2:B425,B425)&gt;=50,AVERAGE(OFFSET(C425,-49,0,50,1)),"")</f>
        <v/>
      </c>
    </row>
    <row r="426" customFormat="false" ht="15" hidden="false" customHeight="false" outlineLevel="0" collapsed="false">
      <c r="A426" s="17" t="n">
        <f aca="false">Cours_Bruts!A426</f>
        <v>45751</v>
      </c>
      <c r="B426" s="18" t="str">
        <f aca="false">Cours_Bruts!B426</f>
        <v>JNJ</v>
      </c>
      <c r="C426" s="19" t="n">
        <f aca="false">Cours_Bruts!C426</f>
        <v>151.07</v>
      </c>
      <c r="D426" s="20" t="n">
        <f aca="false">IF(B426=B425,(C426-C425)/C425,"")</f>
        <v>-0.0146751891468823</v>
      </c>
      <c r="E426" s="20" t="n">
        <f aca="false">IF(B426=B425,(1+E425)*(1+IF(D426="",0,D426))-1,0)</f>
        <v>-0.0253548387096776</v>
      </c>
      <c r="F426" s="21" t="n">
        <f aca="false">IF(B426=B425,MAX(F425,C426),C426)</f>
        <v>159.68</v>
      </c>
      <c r="G426" s="20" t="n">
        <f aca="false">(C426-F426)/F426</f>
        <v>-0.0539203406813628</v>
      </c>
      <c r="H426" s="21" t="n">
        <f aca="true">IF(COUNTIFS($B$2:B426,B426)&gt;=20,AVERAGE(OFFSET(C426,-19,0,20,1)),"")</f>
        <v>154.314</v>
      </c>
      <c r="I426" s="21" t="str">
        <f aca="true">IF(COUNTIFS($B$2:B426,B426)&gt;=50,AVERAGE(OFFSET(C426,-49,0,50,1)),"")</f>
        <v/>
      </c>
    </row>
    <row r="427" customFormat="false" ht="15" hidden="false" customHeight="false" outlineLevel="0" collapsed="false">
      <c r="A427" s="17" t="n">
        <f aca="false">Cours_Bruts!A427</f>
        <v>45754</v>
      </c>
      <c r="B427" s="18" t="str">
        <f aca="false">Cours_Bruts!B427</f>
        <v>JNJ</v>
      </c>
      <c r="C427" s="19" t="n">
        <f aca="false">Cours_Bruts!C427</f>
        <v>152.85</v>
      </c>
      <c r="D427" s="20" t="n">
        <f aca="false">IF(B427=B426,(C427-C426)/C426,"")</f>
        <v>0.0117826173297147</v>
      </c>
      <c r="E427" s="20" t="n">
        <f aca="false">IF(B427=B426,(1+E426)*(1+IF(D427="",0,D427))-1,0)</f>
        <v>-0.0138709677419357</v>
      </c>
      <c r="F427" s="21" t="n">
        <f aca="false">IF(B427=B426,MAX(F426,C427),C427)</f>
        <v>159.68</v>
      </c>
      <c r="G427" s="20" t="n">
        <f aca="false">(C427-F427)/F427</f>
        <v>-0.0427730460921844</v>
      </c>
      <c r="H427" s="21" t="n">
        <f aca="true">IF(COUNTIFS($B$2:B427,B427)&gt;=20,AVERAGE(OFFSET(C427,-19,0,20,1)),"")</f>
        <v>154.303</v>
      </c>
      <c r="I427" s="21" t="str">
        <f aca="true">IF(COUNTIFS($B$2:B427,B427)&gt;=50,AVERAGE(OFFSET(C427,-49,0,50,1)),"")</f>
        <v/>
      </c>
    </row>
    <row r="428" customFormat="false" ht="15" hidden="false" customHeight="false" outlineLevel="0" collapsed="false">
      <c r="A428" s="17" t="n">
        <f aca="false">Cours_Bruts!A428</f>
        <v>45755</v>
      </c>
      <c r="B428" s="18" t="str">
        <f aca="false">Cours_Bruts!B428</f>
        <v>JNJ</v>
      </c>
      <c r="C428" s="19" t="n">
        <f aca="false">Cours_Bruts!C428</f>
        <v>153.4</v>
      </c>
      <c r="D428" s="20" t="n">
        <f aca="false">IF(B428=B427,(C428-C427)/C427,"")</f>
        <v>0.003598298985934</v>
      </c>
      <c r="E428" s="20" t="n">
        <f aca="false">IF(B428=B427,(1+E427)*(1+IF(D428="",0,D428))-1,0)</f>
        <v>-0.0103225806451615</v>
      </c>
      <c r="F428" s="21" t="n">
        <f aca="false">IF(B428=B427,MAX(F427,C428),C428)</f>
        <v>159.68</v>
      </c>
      <c r="G428" s="20" t="n">
        <f aca="false">(C428-F428)/F428</f>
        <v>-0.0393286573146293</v>
      </c>
      <c r="H428" s="21" t="n">
        <f aca="true">IF(COUNTIFS($B$2:B428,B428)&gt;=20,AVERAGE(OFFSET(C428,-19,0,20,1)),"")</f>
        <v>154.2955</v>
      </c>
      <c r="I428" s="21" t="str">
        <f aca="true">IF(COUNTIFS($B$2:B428,B428)&gt;=50,AVERAGE(OFFSET(C428,-49,0,50,1)),"")</f>
        <v/>
      </c>
    </row>
    <row r="429" customFormat="false" ht="15" hidden="false" customHeight="false" outlineLevel="0" collapsed="false">
      <c r="A429" s="17" t="n">
        <f aca="false">Cours_Bruts!A429</f>
        <v>45756</v>
      </c>
      <c r="B429" s="18" t="str">
        <f aca="false">Cours_Bruts!B429</f>
        <v>JNJ</v>
      </c>
      <c r="C429" s="19" t="n">
        <f aca="false">Cours_Bruts!C429</f>
        <v>152.8</v>
      </c>
      <c r="D429" s="20" t="n">
        <f aca="false">IF(B429=B428,(C429-C428)/C428,"")</f>
        <v>-0.00391134289439371</v>
      </c>
      <c r="E429" s="20" t="n">
        <f aca="false">IF(B429=B428,(1+E428)*(1+IF(D429="",0,D429))-1,0)</f>
        <v>-0.0141935483870969</v>
      </c>
      <c r="F429" s="21" t="n">
        <f aca="false">IF(B429=B428,MAX(F428,C429),C429)</f>
        <v>159.68</v>
      </c>
      <c r="G429" s="20" t="n">
        <f aca="false">(C429-F429)/F429</f>
        <v>-0.0430861723446893</v>
      </c>
      <c r="H429" s="21" t="n">
        <f aca="true">IF(COUNTIFS($B$2:B429,B429)&gt;=20,AVERAGE(OFFSET(C429,-19,0,20,1)),"")</f>
        <v>154.0955</v>
      </c>
      <c r="I429" s="21" t="str">
        <f aca="true">IF(COUNTIFS($B$2:B429,B429)&gt;=50,AVERAGE(OFFSET(C429,-49,0,50,1)),"")</f>
        <v/>
      </c>
    </row>
    <row r="430" customFormat="false" ht="15" hidden="false" customHeight="false" outlineLevel="0" collapsed="false">
      <c r="A430" s="17" t="n">
        <f aca="false">Cours_Bruts!A430</f>
        <v>45757</v>
      </c>
      <c r="B430" s="18" t="str">
        <f aca="false">Cours_Bruts!B430</f>
        <v>JNJ</v>
      </c>
      <c r="C430" s="19" t="n">
        <f aca="false">Cours_Bruts!C430</f>
        <v>153.81</v>
      </c>
      <c r="D430" s="20" t="n">
        <f aca="false">IF(B430=B429,(C430-C429)/C429,"")</f>
        <v>0.006609947643979</v>
      </c>
      <c r="E430" s="20" t="n">
        <f aca="false">IF(B430=B429,(1+E429)*(1+IF(D430="",0,D430))-1,0)</f>
        <v>-0.0076774193548389</v>
      </c>
      <c r="F430" s="21" t="n">
        <f aca="false">IF(B430=B429,MAX(F429,C430),C430)</f>
        <v>159.68</v>
      </c>
      <c r="G430" s="20" t="n">
        <f aca="false">(C430-F430)/F430</f>
        <v>-0.0367610220440882</v>
      </c>
      <c r="H430" s="21" t="n">
        <f aca="true">IF(COUNTIFS($B$2:B430,B430)&gt;=20,AVERAGE(OFFSET(C430,-19,0,20,1)),"")</f>
        <v>153.8755</v>
      </c>
      <c r="I430" s="21" t="str">
        <f aca="true">IF(COUNTIFS($B$2:B430,B430)&gt;=50,AVERAGE(OFFSET(C430,-49,0,50,1)),"")</f>
        <v/>
      </c>
    </row>
    <row r="431" customFormat="false" ht="15" hidden="false" customHeight="false" outlineLevel="0" collapsed="false">
      <c r="A431" s="17" t="n">
        <f aca="false">Cours_Bruts!A431</f>
        <v>45758</v>
      </c>
      <c r="B431" s="18" t="str">
        <f aca="false">Cours_Bruts!B431</f>
        <v>JNJ</v>
      </c>
      <c r="C431" s="19" t="n">
        <f aca="false">Cours_Bruts!C431</f>
        <v>157.37</v>
      </c>
      <c r="D431" s="20" t="n">
        <f aca="false">IF(B431=B430,(C431-C430)/C430,"")</f>
        <v>0.0231454391782069</v>
      </c>
      <c r="E431" s="20" t="n">
        <f aca="false">IF(B431=B430,(1+E430)*(1+IF(D431="",0,D431))-1,0)</f>
        <v>0.0152903225806449</v>
      </c>
      <c r="F431" s="21" t="n">
        <f aca="false">IF(B431=B430,MAX(F430,C431),C431)</f>
        <v>159.68</v>
      </c>
      <c r="G431" s="20" t="n">
        <f aca="false">(C431-F431)/F431</f>
        <v>-0.0144664328657315</v>
      </c>
      <c r="H431" s="21" t="n">
        <f aca="true">IF(COUNTIFS($B$2:B431,B431)&gt;=20,AVERAGE(OFFSET(C431,-19,0,20,1)),"")</f>
        <v>153.8575</v>
      </c>
      <c r="I431" s="21" t="str">
        <f aca="true">IF(COUNTIFS($B$2:B431,B431)&gt;=50,AVERAGE(OFFSET(C431,-49,0,50,1)),"")</f>
        <v/>
      </c>
    </row>
    <row r="432" customFormat="false" ht="15" hidden="false" customHeight="false" outlineLevel="0" collapsed="false">
      <c r="A432" s="17" t="n">
        <f aca="false">Cours_Bruts!A432</f>
        <v>45761</v>
      </c>
      <c r="B432" s="18" t="str">
        <f aca="false">Cours_Bruts!B432</f>
        <v>JNJ</v>
      </c>
      <c r="C432" s="19" t="n">
        <f aca="false">Cours_Bruts!C432</f>
        <v>157.69</v>
      </c>
      <c r="D432" s="20" t="n">
        <f aca="false">IF(B432=B431,(C432-C431)/C431,"")</f>
        <v>0.00203342441380182</v>
      </c>
      <c r="E432" s="20" t="n">
        <f aca="false">IF(B432=B431,(1+E431)*(1+IF(D432="",0,D432))-1,0)</f>
        <v>0.0173548387096771</v>
      </c>
      <c r="F432" s="21" t="n">
        <f aca="false">IF(B432=B431,MAX(F431,C432),C432)</f>
        <v>159.68</v>
      </c>
      <c r="G432" s="20" t="n">
        <f aca="false">(C432-F432)/F432</f>
        <v>-0.0124624248496995</v>
      </c>
      <c r="H432" s="21" t="n">
        <f aca="true">IF(COUNTIFS($B$2:B432,B432)&gt;=20,AVERAGE(OFFSET(C432,-19,0,20,1)),"")</f>
        <v>153.758</v>
      </c>
      <c r="I432" s="21" t="str">
        <f aca="true">IF(COUNTIFS($B$2:B432,B432)&gt;=50,AVERAGE(OFFSET(C432,-49,0,50,1)),"")</f>
        <v/>
      </c>
    </row>
    <row r="433" customFormat="false" ht="15" hidden="false" customHeight="false" outlineLevel="0" collapsed="false">
      <c r="A433" s="17" t="n">
        <f aca="false">Cours_Bruts!A433</f>
        <v>45762</v>
      </c>
      <c r="B433" s="18" t="str">
        <f aca="false">Cours_Bruts!B433</f>
        <v>JNJ</v>
      </c>
      <c r="C433" s="19" t="n">
        <f aca="false">Cours_Bruts!C433</f>
        <v>158.12</v>
      </c>
      <c r="D433" s="20" t="n">
        <f aca="false">IF(B433=B432,(C433-C432)/C432,"")</f>
        <v>0.00272686917369527</v>
      </c>
      <c r="E433" s="20" t="n">
        <f aca="false">IF(B433=B432,(1+E432)*(1+IF(D433="",0,D433))-1,0)</f>
        <v>0.0201290322580643</v>
      </c>
      <c r="F433" s="21" t="n">
        <f aca="false">IF(B433=B432,MAX(F432,C433),C433)</f>
        <v>159.68</v>
      </c>
      <c r="G433" s="20" t="n">
        <f aca="false">(C433-F433)/F433</f>
        <v>-0.00976953907815633</v>
      </c>
      <c r="H433" s="21" t="n">
        <f aca="true">IF(COUNTIFS($B$2:B433,B433)&gt;=20,AVERAGE(OFFSET(C433,-19,0,20,1)),"")</f>
        <v>153.711</v>
      </c>
      <c r="I433" s="21" t="str">
        <f aca="true">IF(COUNTIFS($B$2:B433,B433)&gt;=50,AVERAGE(OFFSET(C433,-49,0,50,1)),"")</f>
        <v/>
      </c>
    </row>
    <row r="434" customFormat="false" ht="15" hidden="false" customHeight="false" outlineLevel="0" collapsed="false">
      <c r="A434" s="17" t="n">
        <f aca="false">Cours_Bruts!A434</f>
        <v>45763</v>
      </c>
      <c r="B434" s="18" t="str">
        <f aca="false">Cours_Bruts!B434</f>
        <v>JNJ</v>
      </c>
      <c r="C434" s="19" t="n">
        <f aca="false">Cours_Bruts!C434</f>
        <v>157.43</v>
      </c>
      <c r="D434" s="20" t="n">
        <f aca="false">IF(B434=B433,(C434-C433)/C433,"")</f>
        <v>-0.00436377434859599</v>
      </c>
      <c r="E434" s="20" t="n">
        <f aca="false">IF(B434=B433,(1+E433)*(1+IF(D434="",0,D434))-1,0)</f>
        <v>0.0156774193548384</v>
      </c>
      <c r="F434" s="21" t="n">
        <f aca="false">IF(B434=B433,MAX(F433,C434),C434)</f>
        <v>159.68</v>
      </c>
      <c r="G434" s="20" t="n">
        <f aca="false">(C434-F434)/F434</f>
        <v>-0.0140906813627255</v>
      </c>
      <c r="H434" s="21" t="n">
        <f aca="true">IF(COUNTIFS($B$2:B434,B434)&gt;=20,AVERAGE(OFFSET(C434,-19,0,20,1)),"")</f>
        <v>153.791</v>
      </c>
      <c r="I434" s="21" t="str">
        <f aca="true">IF(COUNTIFS($B$2:B434,B434)&gt;=50,AVERAGE(OFFSET(C434,-49,0,50,1)),"")</f>
        <v/>
      </c>
    </row>
    <row r="435" customFormat="false" ht="15" hidden="false" customHeight="false" outlineLevel="0" collapsed="false">
      <c r="A435" s="17" t="n">
        <f aca="false">Cours_Bruts!A435</f>
        <v>45764</v>
      </c>
      <c r="B435" s="18" t="str">
        <f aca="false">Cours_Bruts!B435</f>
        <v>JNJ</v>
      </c>
      <c r="C435" s="19" t="n">
        <f aca="false">Cours_Bruts!C435</f>
        <v>156.12</v>
      </c>
      <c r="D435" s="20" t="n">
        <f aca="false">IF(B435=B434,(C435-C434)/C434,"")</f>
        <v>-0.00832115861017597</v>
      </c>
      <c r="E435" s="20" t="n">
        <f aca="false">IF(B435=B434,(1+E434)*(1+IF(D435="",0,D435))-1,0)</f>
        <v>0.00722580645161242</v>
      </c>
      <c r="F435" s="21" t="n">
        <f aca="false">IF(B435=B434,MAX(F434,C435),C435)</f>
        <v>159.68</v>
      </c>
      <c r="G435" s="20" t="n">
        <f aca="false">(C435-F435)/F435</f>
        <v>-0.0222945891783567</v>
      </c>
      <c r="H435" s="21" t="n">
        <f aca="true">IF(COUNTIFS($B$2:B435,B435)&gt;=20,AVERAGE(OFFSET(C435,-19,0,20,1)),"")</f>
        <v>153.883</v>
      </c>
      <c r="I435" s="21" t="str">
        <f aca="true">IF(COUNTIFS($B$2:B435,B435)&gt;=50,AVERAGE(OFFSET(C435,-49,0,50,1)),"")</f>
        <v/>
      </c>
    </row>
    <row r="436" customFormat="false" ht="15" hidden="false" customHeight="false" outlineLevel="0" collapsed="false">
      <c r="A436" s="17" t="n">
        <f aca="false">Cours_Bruts!A436</f>
        <v>45765</v>
      </c>
      <c r="B436" s="18" t="str">
        <f aca="false">Cours_Bruts!B436</f>
        <v>JNJ</v>
      </c>
      <c r="C436" s="19" t="n">
        <f aca="false">Cours_Bruts!C436</f>
        <v>157.46</v>
      </c>
      <c r="D436" s="20" t="n">
        <f aca="false">IF(B436=B435,(C436-C435)/C435,"")</f>
        <v>0.00858314117345634</v>
      </c>
      <c r="E436" s="20" t="n">
        <f aca="false">IF(B436=B435,(1+E435)*(1+IF(D436="",0,D436))-1,0)</f>
        <v>0.0158709677419349</v>
      </c>
      <c r="F436" s="21" t="n">
        <f aca="false">IF(B436=B435,MAX(F435,C436),C436)</f>
        <v>159.68</v>
      </c>
      <c r="G436" s="20" t="n">
        <f aca="false">(C436-F436)/F436</f>
        <v>-0.0139028056112224</v>
      </c>
      <c r="H436" s="21" t="n">
        <f aca="true">IF(COUNTIFS($B$2:B436,B436)&gt;=20,AVERAGE(OFFSET(C436,-19,0,20,1)),"")</f>
        <v>154.1855</v>
      </c>
      <c r="I436" s="21" t="str">
        <f aca="true">IF(COUNTIFS($B$2:B436,B436)&gt;=50,AVERAGE(OFFSET(C436,-49,0,50,1)),"")</f>
        <v/>
      </c>
    </row>
    <row r="437" customFormat="false" ht="15" hidden="false" customHeight="false" outlineLevel="0" collapsed="false">
      <c r="A437" s="17" t="n">
        <f aca="false">Cours_Bruts!A437</f>
        <v>45768</v>
      </c>
      <c r="B437" s="18" t="str">
        <f aca="false">Cours_Bruts!B437</f>
        <v>JNJ</v>
      </c>
      <c r="C437" s="19" t="n">
        <f aca="false">Cours_Bruts!C437</f>
        <v>156.14</v>
      </c>
      <c r="D437" s="20" t="n">
        <f aca="false">IF(B437=B436,(C437-C436)/C436,"")</f>
        <v>-0.008383081417503</v>
      </c>
      <c r="E437" s="20" t="n">
        <f aca="false">IF(B437=B436,(1+E436)*(1+IF(D437="",0,D437))-1,0)</f>
        <v>0.00735483870967668</v>
      </c>
      <c r="F437" s="21" t="n">
        <f aca="false">IF(B437=B436,MAX(F436,C437),C437)</f>
        <v>159.68</v>
      </c>
      <c r="G437" s="20" t="n">
        <f aca="false">(C437-F437)/F437</f>
        <v>-0.0221693386773548</v>
      </c>
      <c r="H437" s="21" t="n">
        <f aca="true">IF(COUNTIFS($B$2:B437,B437)&gt;=20,AVERAGE(OFFSET(C437,-19,0,20,1)),"")</f>
        <v>154.447</v>
      </c>
      <c r="I437" s="21" t="str">
        <f aca="true">IF(COUNTIFS($B$2:B437,B437)&gt;=50,AVERAGE(OFFSET(C437,-49,0,50,1)),"")</f>
        <v/>
      </c>
    </row>
    <row r="438" customFormat="false" ht="15" hidden="false" customHeight="false" outlineLevel="0" collapsed="false">
      <c r="A438" s="17" t="n">
        <f aca="false">Cours_Bruts!A438</f>
        <v>45769</v>
      </c>
      <c r="B438" s="18" t="str">
        <f aca="false">Cours_Bruts!B438</f>
        <v>JNJ</v>
      </c>
      <c r="C438" s="19" t="n">
        <f aca="false">Cours_Bruts!C438</f>
        <v>156.29</v>
      </c>
      <c r="D438" s="20" t="n">
        <f aca="false">IF(B438=B437,(C438-C437)/C437,"")</f>
        <v>0.00096067631612659</v>
      </c>
      <c r="E438" s="20" t="n">
        <f aca="false">IF(B438=B437,(1+E437)*(1+IF(D438="",0,D438))-1,0)</f>
        <v>0.00832258064516056</v>
      </c>
      <c r="F438" s="21" t="n">
        <f aca="false">IF(B438=B437,MAX(F437,C438),C438)</f>
        <v>159.68</v>
      </c>
      <c r="G438" s="20" t="n">
        <f aca="false">(C438-F438)/F438</f>
        <v>-0.0212299599198398</v>
      </c>
      <c r="H438" s="21" t="n">
        <f aca="true">IF(COUNTIFS($B$2:B438,B438)&gt;=20,AVERAGE(OFFSET(C438,-19,0,20,1)),"")</f>
        <v>154.7125</v>
      </c>
      <c r="I438" s="21" t="str">
        <f aca="true">IF(COUNTIFS($B$2:B438,B438)&gt;=50,AVERAGE(OFFSET(C438,-49,0,50,1)),"")</f>
        <v/>
      </c>
    </row>
    <row r="439" customFormat="false" ht="15" hidden="false" customHeight="false" outlineLevel="0" collapsed="false">
      <c r="A439" s="17" t="n">
        <f aca="false">Cours_Bruts!A439</f>
        <v>45770</v>
      </c>
      <c r="B439" s="18" t="str">
        <f aca="false">Cours_Bruts!B439</f>
        <v>JNJ</v>
      </c>
      <c r="C439" s="19" t="n">
        <f aca="false">Cours_Bruts!C439</f>
        <v>155.58</v>
      </c>
      <c r="D439" s="20" t="n">
        <f aca="false">IF(B439=B438,(C439-C438)/C438,"")</f>
        <v>-0.00454283703371924</v>
      </c>
      <c r="E439" s="20" t="n">
        <f aca="false">IF(B439=B438,(1+E438)*(1+IF(D439="",0,D439))-1,0)</f>
        <v>0.00374193548387036</v>
      </c>
      <c r="F439" s="21" t="n">
        <f aca="false">IF(B439=B438,MAX(F438,C439),C439)</f>
        <v>159.68</v>
      </c>
      <c r="G439" s="20" t="n">
        <f aca="false">(C439-F439)/F439</f>
        <v>-0.0256763527054108</v>
      </c>
      <c r="H439" s="21" t="n">
        <f aca="true">IF(COUNTIFS($B$2:B439,B439)&gt;=20,AVERAGE(OFFSET(C439,-19,0,20,1)),"")</f>
        <v>154.8135</v>
      </c>
      <c r="I439" s="21" t="str">
        <f aca="true">IF(COUNTIFS($B$2:B439,B439)&gt;=50,AVERAGE(OFFSET(C439,-49,0,50,1)),"")</f>
        <v/>
      </c>
    </row>
    <row r="440" customFormat="false" ht="15" hidden="false" customHeight="false" outlineLevel="0" collapsed="false">
      <c r="A440" s="17" t="n">
        <f aca="false">Cours_Bruts!A440</f>
        <v>45771</v>
      </c>
      <c r="B440" s="18" t="str">
        <f aca="false">Cours_Bruts!B440</f>
        <v>JNJ</v>
      </c>
      <c r="C440" s="19" t="n">
        <f aca="false">Cours_Bruts!C440</f>
        <v>156.36</v>
      </c>
      <c r="D440" s="20" t="n">
        <f aca="false">IF(B440=B439,(C440-C439)/C439,"")</f>
        <v>0.00501349787890475</v>
      </c>
      <c r="E440" s="20" t="n">
        <f aca="false">IF(B440=B439,(1+E439)*(1+IF(D440="",0,D440))-1,0)</f>
        <v>0.00877419354838649</v>
      </c>
      <c r="F440" s="21" t="n">
        <f aca="false">IF(B440=B439,MAX(F439,C440),C440)</f>
        <v>159.68</v>
      </c>
      <c r="G440" s="20" t="n">
        <f aca="false">(C440-F440)/F440</f>
        <v>-0.0207915831663326</v>
      </c>
      <c r="H440" s="21" t="n">
        <f aca="true">IF(COUNTIFS($B$2:B440,B440)&gt;=20,AVERAGE(OFFSET(C440,-19,0,20,1)),"")</f>
        <v>154.9265</v>
      </c>
      <c r="I440" s="21" t="str">
        <f aca="true">IF(COUNTIFS($B$2:B440,B440)&gt;=50,AVERAGE(OFFSET(C440,-49,0,50,1)),"")</f>
        <v/>
      </c>
    </row>
    <row r="441" customFormat="false" ht="15" hidden="false" customHeight="false" outlineLevel="0" collapsed="false">
      <c r="A441" s="17" t="n">
        <f aca="false">Cours_Bruts!A441</f>
        <v>45772</v>
      </c>
      <c r="B441" s="18" t="str">
        <f aca="false">Cours_Bruts!B441</f>
        <v>JNJ</v>
      </c>
      <c r="C441" s="19" t="n">
        <f aca="false">Cours_Bruts!C441</f>
        <v>156.93</v>
      </c>
      <c r="D441" s="20" t="n">
        <f aca="false">IF(B441=B440,(C441-C440)/C440,"")</f>
        <v>0.00364543361473518</v>
      </c>
      <c r="E441" s="20" t="n">
        <f aca="false">IF(B441=B440,(1+E440)*(1+IF(D441="",0,D441))-1,0)</f>
        <v>0.0124516129032251</v>
      </c>
      <c r="F441" s="21" t="n">
        <f aca="false">IF(B441=B440,MAX(F440,C441),C441)</f>
        <v>159.68</v>
      </c>
      <c r="G441" s="20" t="n">
        <f aca="false">(C441-F441)/F441</f>
        <v>-0.0172219438877756</v>
      </c>
      <c r="H441" s="21" t="n">
        <f aca="true">IF(COUNTIFS($B$2:B441,B441)&gt;=20,AVERAGE(OFFSET(C441,-19,0,20,1)),"")</f>
        <v>155.083</v>
      </c>
      <c r="I441" s="21" t="str">
        <f aca="true">IF(COUNTIFS($B$2:B441,B441)&gt;=50,AVERAGE(OFFSET(C441,-49,0,50,1)),"")</f>
        <v/>
      </c>
    </row>
    <row r="442" customFormat="false" ht="15" hidden="false" customHeight="false" outlineLevel="0" collapsed="false">
      <c r="A442" s="17" t="n">
        <f aca="false">Cours_Bruts!A442</f>
        <v>45775</v>
      </c>
      <c r="B442" s="18" t="str">
        <f aca="false">Cours_Bruts!B442</f>
        <v>JNJ</v>
      </c>
      <c r="C442" s="19" t="n">
        <f aca="false">Cours_Bruts!C442</f>
        <v>158.61</v>
      </c>
      <c r="D442" s="20" t="n">
        <f aca="false">IF(B442=B441,(C442-C441)/C441,"")</f>
        <v>0.0107054100554388</v>
      </c>
      <c r="E442" s="20" t="n">
        <f aca="false">IF(B442=B441,(1+E441)*(1+IF(D442="",0,D442))-1,0)</f>
        <v>0.0232903225806445</v>
      </c>
      <c r="F442" s="21" t="n">
        <f aca="false">IF(B442=B441,MAX(F441,C442),C442)</f>
        <v>159.68</v>
      </c>
      <c r="G442" s="20" t="n">
        <f aca="false">(C442-F442)/F442</f>
        <v>-0.00670090180360717</v>
      </c>
      <c r="H442" s="21" t="n">
        <f aca="true">IF(COUNTIFS($B$2:B442,B442)&gt;=20,AVERAGE(OFFSET(C442,-19,0,20,1)),"")</f>
        <v>155.2575</v>
      </c>
      <c r="I442" s="21" t="str">
        <f aca="true">IF(COUNTIFS($B$2:B442,B442)&gt;=50,AVERAGE(OFFSET(C442,-49,0,50,1)),"")</f>
        <v/>
      </c>
    </row>
    <row r="443" customFormat="false" ht="15" hidden="false" customHeight="false" outlineLevel="0" collapsed="false">
      <c r="A443" s="17" t="n">
        <f aca="false">Cours_Bruts!A443</f>
        <v>45776</v>
      </c>
      <c r="B443" s="18" t="str">
        <f aca="false">Cours_Bruts!B443</f>
        <v>JNJ</v>
      </c>
      <c r="C443" s="19" t="n">
        <f aca="false">Cours_Bruts!C443</f>
        <v>157.83</v>
      </c>
      <c r="D443" s="20" t="n">
        <f aca="false">IF(B443=B442,(C443-C442)/C442,"")</f>
        <v>-0.00491772271609609</v>
      </c>
      <c r="E443" s="20" t="n">
        <f aca="false">IF(B443=B442,(1+E442)*(1+IF(D443="",0,D443))-1,0)</f>
        <v>0.0182580645161283</v>
      </c>
      <c r="F443" s="21" t="n">
        <f aca="false">IF(B443=B442,MAX(F442,C443),C443)</f>
        <v>159.68</v>
      </c>
      <c r="G443" s="20" t="n">
        <f aca="false">(C443-F443)/F443</f>
        <v>-0.0115856713426853</v>
      </c>
      <c r="H443" s="21" t="n">
        <f aca="true">IF(COUNTIFS($B$2:B443,B443)&gt;=20,AVERAGE(OFFSET(C443,-19,0,20,1)),"")</f>
        <v>155.564</v>
      </c>
      <c r="I443" s="21" t="str">
        <f aca="true">IF(COUNTIFS($B$2:B443,B443)&gt;=50,AVERAGE(OFFSET(C443,-49,0,50,1)),"")</f>
        <v/>
      </c>
    </row>
    <row r="444" customFormat="false" ht="15" hidden="false" customHeight="false" outlineLevel="0" collapsed="false">
      <c r="A444" s="17" t="n">
        <f aca="false">Cours_Bruts!A444</f>
        <v>45777</v>
      </c>
      <c r="B444" s="18" t="str">
        <f aca="false">Cours_Bruts!B444</f>
        <v>JNJ</v>
      </c>
      <c r="C444" s="19" t="n">
        <f aca="false">Cours_Bruts!C444</f>
        <v>157.44</v>
      </c>
      <c r="D444" s="20" t="n">
        <f aca="false">IF(B444=B443,(C444-C443)/C443,"")</f>
        <v>-0.0024710131153774</v>
      </c>
      <c r="E444" s="20" t="n">
        <f aca="false">IF(B444=B443,(1+E443)*(1+IF(D444="",0,D444))-1,0)</f>
        <v>0.0157419354838702</v>
      </c>
      <c r="F444" s="21" t="n">
        <f aca="false">IF(B444=B443,MAX(F443,C444),C444)</f>
        <v>159.68</v>
      </c>
      <c r="G444" s="20" t="n">
        <f aca="false">(C444-F444)/F444</f>
        <v>-0.0140280561122245</v>
      </c>
      <c r="H444" s="21" t="n">
        <f aca="true">IF(COUNTIFS($B$2:B444,B444)&gt;=20,AVERAGE(OFFSET(C444,-19,0,20,1)),"")</f>
        <v>155.831</v>
      </c>
      <c r="I444" s="21" t="str">
        <f aca="true">IF(COUNTIFS($B$2:B444,B444)&gt;=50,AVERAGE(OFFSET(C444,-49,0,50,1)),"")</f>
        <v/>
      </c>
    </row>
    <row r="445" customFormat="false" ht="15" hidden="false" customHeight="false" outlineLevel="0" collapsed="false">
      <c r="A445" s="17" t="n">
        <f aca="false">Cours_Bruts!A445</f>
        <v>45778</v>
      </c>
      <c r="B445" s="18" t="str">
        <f aca="false">Cours_Bruts!B445</f>
        <v>JNJ</v>
      </c>
      <c r="C445" s="19" t="n">
        <f aca="false">Cours_Bruts!C445</f>
        <v>155.92</v>
      </c>
      <c r="D445" s="20" t="n">
        <f aca="false">IF(B445=B444,(C445-C444)/C444,"")</f>
        <v>-0.00965447154471551</v>
      </c>
      <c r="E445" s="20" t="n">
        <f aca="false">IF(B445=B444,(1+E444)*(1+IF(D445="",0,D445))-1,0)</f>
        <v>0.00593548387096687</v>
      </c>
      <c r="F445" s="21" t="n">
        <f aca="false">IF(B445=B444,MAX(F444,C445),C445)</f>
        <v>159.68</v>
      </c>
      <c r="G445" s="20" t="n">
        <f aca="false">(C445-F445)/F445</f>
        <v>-0.0235470941883769</v>
      </c>
      <c r="H445" s="21" t="n">
        <f aca="true">IF(COUNTIFS($B$2:B445,B445)&gt;=20,AVERAGE(OFFSET(C445,-19,0,20,1)),"")</f>
        <v>155.961</v>
      </c>
      <c r="I445" s="21" t="str">
        <f aca="true">IF(COUNTIFS($B$2:B445,B445)&gt;=50,AVERAGE(OFFSET(C445,-49,0,50,1)),"")</f>
        <v/>
      </c>
    </row>
    <row r="446" customFormat="false" ht="15" hidden="false" customHeight="false" outlineLevel="0" collapsed="false">
      <c r="A446" s="17" t="n">
        <f aca="false">Cours_Bruts!A446</f>
        <v>45779</v>
      </c>
      <c r="B446" s="18" t="str">
        <f aca="false">Cours_Bruts!B446</f>
        <v>JNJ</v>
      </c>
      <c r="C446" s="19" t="n">
        <f aca="false">Cours_Bruts!C446</f>
        <v>155.26</v>
      </c>
      <c r="D446" s="20" t="n">
        <f aca="false">IF(B446=B445,(C446-C445)/C445,"")</f>
        <v>-0.00423293996921496</v>
      </c>
      <c r="E446" s="20" t="n">
        <f aca="false">IF(B446=B445,(1+E445)*(1+IF(D446="",0,D446))-1,0)</f>
        <v>0.00167741935483789</v>
      </c>
      <c r="F446" s="21" t="n">
        <f aca="false">IF(B446=B445,MAX(F445,C446),C446)</f>
        <v>159.68</v>
      </c>
      <c r="G446" s="20" t="n">
        <f aca="false">(C446-F446)/F446</f>
        <v>-0.027680360721443</v>
      </c>
      <c r="H446" s="21" t="n">
        <f aca="true">IF(COUNTIFS($B$2:B446,B446)&gt;=20,AVERAGE(OFFSET(C446,-19,0,20,1)),"")</f>
        <v>156.1705</v>
      </c>
      <c r="I446" s="21" t="str">
        <f aca="true">IF(COUNTIFS($B$2:B446,B446)&gt;=50,AVERAGE(OFFSET(C446,-49,0,50,1)),"")</f>
        <v/>
      </c>
    </row>
    <row r="447" customFormat="false" ht="15" hidden="false" customHeight="false" outlineLevel="0" collapsed="false">
      <c r="A447" s="17" t="n">
        <f aca="false">Cours_Bruts!A447</f>
        <v>45782</v>
      </c>
      <c r="B447" s="18" t="str">
        <f aca="false">Cours_Bruts!B447</f>
        <v>JNJ</v>
      </c>
      <c r="C447" s="19" t="n">
        <f aca="false">Cours_Bruts!C447</f>
        <v>155.89</v>
      </c>
      <c r="D447" s="20" t="n">
        <f aca="false">IF(B447=B446,(C447-C446)/C446,"")</f>
        <v>0.0040577096483318</v>
      </c>
      <c r="E447" s="20" t="n">
        <f aca="false">IF(B447=B446,(1+E446)*(1+IF(D447="",0,D447))-1,0)</f>
        <v>0.00574193548387014</v>
      </c>
      <c r="F447" s="21" t="n">
        <f aca="false">IF(B447=B446,MAX(F446,C447),C447)</f>
        <v>159.68</v>
      </c>
      <c r="G447" s="20" t="n">
        <f aca="false">(C447-F447)/F447</f>
        <v>-0.0237349699398799</v>
      </c>
      <c r="H447" s="21" t="n">
        <f aca="true">IF(COUNTIFS($B$2:B447,B447)&gt;=20,AVERAGE(OFFSET(C447,-19,0,20,1)),"")</f>
        <v>156.3225</v>
      </c>
      <c r="I447" s="21" t="str">
        <f aca="true">IF(COUNTIFS($B$2:B447,B447)&gt;=50,AVERAGE(OFFSET(C447,-49,0,50,1)),"")</f>
        <v/>
      </c>
    </row>
    <row r="448" customFormat="false" ht="15" hidden="false" customHeight="false" outlineLevel="0" collapsed="false">
      <c r="A448" s="17" t="n">
        <f aca="false">Cours_Bruts!A448</f>
        <v>45783</v>
      </c>
      <c r="B448" s="18" t="str">
        <f aca="false">Cours_Bruts!B448</f>
        <v>JNJ</v>
      </c>
      <c r="C448" s="19" t="n">
        <f aca="false">Cours_Bruts!C448</f>
        <v>157.11</v>
      </c>
      <c r="D448" s="20" t="n">
        <f aca="false">IF(B448=B447,(C448-C447)/C447,"")</f>
        <v>0.00782603117582929</v>
      </c>
      <c r="E448" s="20" t="n">
        <f aca="false">IF(B448=B447,(1+E447)*(1+IF(D448="",0,D448))-1,0)</f>
        <v>0.0136129032258059</v>
      </c>
      <c r="F448" s="21" t="n">
        <f aca="false">IF(B448=B447,MAX(F447,C448),C448)</f>
        <v>159.68</v>
      </c>
      <c r="G448" s="20" t="n">
        <f aca="false">(C448-F448)/F448</f>
        <v>-0.0160946893787575</v>
      </c>
      <c r="H448" s="21" t="n">
        <f aca="true">IF(COUNTIFS($B$2:B448,B448)&gt;=20,AVERAGE(OFFSET(C448,-19,0,20,1)),"")</f>
        <v>156.508</v>
      </c>
      <c r="I448" s="21" t="str">
        <f aca="true">IF(COUNTIFS($B$2:B448,B448)&gt;=50,AVERAGE(OFFSET(C448,-49,0,50,1)),"")</f>
        <v/>
      </c>
    </row>
    <row r="449" customFormat="false" ht="15" hidden="false" customHeight="false" outlineLevel="0" collapsed="false">
      <c r="A449" s="17" t="n">
        <f aca="false">Cours_Bruts!A449</f>
        <v>45784</v>
      </c>
      <c r="B449" s="18" t="str">
        <f aca="false">Cours_Bruts!B449</f>
        <v>JNJ</v>
      </c>
      <c r="C449" s="19" t="n">
        <f aca="false">Cours_Bruts!C449</f>
        <v>155.69</v>
      </c>
      <c r="D449" s="20" t="n">
        <f aca="false">IF(B449=B448,(C449-C448)/C448,"")</f>
        <v>-0.00903825345299482</v>
      </c>
      <c r="E449" s="20" t="n">
        <f aca="false">IF(B449=B448,(1+E448)*(1+IF(D449="",0,D449))-1,0)</f>
        <v>0.00445161290322504</v>
      </c>
      <c r="F449" s="21" t="n">
        <f aca="false">IF(B449=B448,MAX(F448,C449),C449)</f>
        <v>159.68</v>
      </c>
      <c r="G449" s="20" t="n">
        <f aca="false">(C449-F449)/F449</f>
        <v>-0.0249874749498999</v>
      </c>
      <c r="H449" s="21" t="n">
        <f aca="true">IF(COUNTIFS($B$2:B449,B449)&gt;=20,AVERAGE(OFFSET(C449,-19,0,20,1)),"")</f>
        <v>156.6525</v>
      </c>
      <c r="I449" s="21" t="str">
        <f aca="true">IF(COUNTIFS($B$2:B449,B449)&gt;=50,AVERAGE(OFFSET(C449,-49,0,50,1)),"")</f>
        <v/>
      </c>
    </row>
    <row r="450" customFormat="false" ht="15" hidden="false" customHeight="false" outlineLevel="0" collapsed="false">
      <c r="A450" s="17" t="n">
        <f aca="false">Cours_Bruts!A450</f>
        <v>45785</v>
      </c>
      <c r="B450" s="18" t="str">
        <f aca="false">Cours_Bruts!B450</f>
        <v>JNJ</v>
      </c>
      <c r="C450" s="19" t="n">
        <f aca="false">Cours_Bruts!C450</f>
        <v>157.09</v>
      </c>
      <c r="D450" s="20" t="n">
        <f aca="false">IF(B450=B449,(C450-C449)/C449,"")</f>
        <v>0.00899222814567413</v>
      </c>
      <c r="E450" s="20" t="n">
        <f aca="false">IF(B450=B449,(1+E449)*(1+IF(D450="",0,D450))-1,0)</f>
        <v>0.0134838709677414</v>
      </c>
      <c r="F450" s="21" t="n">
        <f aca="false">IF(B450=B449,MAX(F449,C450),C450)</f>
        <v>159.68</v>
      </c>
      <c r="G450" s="20" t="n">
        <f aca="false">(C450-F450)/F450</f>
        <v>-0.0162199398797595</v>
      </c>
      <c r="H450" s="21" t="n">
        <f aca="true">IF(COUNTIFS($B$2:B450,B450)&gt;=20,AVERAGE(OFFSET(C450,-19,0,20,1)),"")</f>
        <v>156.8165</v>
      </c>
      <c r="I450" s="21" t="str">
        <f aca="true">IF(COUNTIFS($B$2:B450,B450)&gt;=50,AVERAGE(OFFSET(C450,-49,0,50,1)),"")</f>
        <v/>
      </c>
    </row>
    <row r="451" customFormat="false" ht="15" hidden="false" customHeight="false" outlineLevel="0" collapsed="false">
      <c r="A451" s="17" t="n">
        <f aca="false">Cours_Bruts!A451</f>
        <v>45786</v>
      </c>
      <c r="B451" s="18" t="str">
        <f aca="false">Cours_Bruts!B451</f>
        <v>JNJ</v>
      </c>
      <c r="C451" s="19" t="n">
        <f aca="false">Cours_Bruts!C451</f>
        <v>159.28</v>
      </c>
      <c r="D451" s="20" t="n">
        <f aca="false">IF(B451=B450,(C451-C450)/C450,"")</f>
        <v>0.0139410528996117</v>
      </c>
      <c r="E451" s="20" t="n">
        <f aca="false">IF(B451=B450,(1+E450)*(1+IF(D451="",0,D451))-1,0)</f>
        <v>0.0276129032258059</v>
      </c>
      <c r="F451" s="21" t="n">
        <f aca="false">IF(B451=B450,MAX(F450,C451),C451)</f>
        <v>159.68</v>
      </c>
      <c r="G451" s="20" t="n">
        <f aca="false">(C451-F451)/F451</f>
        <v>-0.00250501002004012</v>
      </c>
      <c r="H451" s="21" t="n">
        <f aca="true">IF(COUNTIFS($B$2:B451,B451)&gt;=20,AVERAGE(OFFSET(C451,-19,0,20,1)),"")</f>
        <v>156.912</v>
      </c>
      <c r="I451" s="21" t="n">
        <f aca="true">IF(COUNTIFS($B$2:B451,B451)&gt;=50,AVERAGE(OFFSET(C451,-49,0,50,1)),"")</f>
        <v>155.2906</v>
      </c>
    </row>
    <row r="452" customFormat="false" ht="15" hidden="false" customHeight="false" outlineLevel="0" collapsed="false">
      <c r="A452" s="17" t="n">
        <f aca="false">Cours_Bruts!A452</f>
        <v>45789</v>
      </c>
      <c r="B452" s="18" t="str">
        <f aca="false">Cours_Bruts!B452</f>
        <v>JNJ</v>
      </c>
      <c r="C452" s="19" t="n">
        <f aca="false">Cours_Bruts!C452</f>
        <v>159.98</v>
      </c>
      <c r="D452" s="20" t="n">
        <f aca="false">IF(B452=B451,(C452-C451)/C451,"")</f>
        <v>0.00439477649422394</v>
      </c>
      <c r="E452" s="20" t="n">
        <f aca="false">IF(B452=B451,(1+E451)*(1+IF(D452="",0,D452))-1,0)</f>
        <v>0.0321290322580641</v>
      </c>
      <c r="F452" s="21" t="n">
        <f aca="false">IF(B452=B451,MAX(F451,C452),C452)</f>
        <v>159.98</v>
      </c>
      <c r="G452" s="20" t="n">
        <f aca="false">(C452-F452)/F452</f>
        <v>0</v>
      </c>
      <c r="H452" s="21" t="n">
        <f aca="true">IF(COUNTIFS($B$2:B452,B452)&gt;=20,AVERAGE(OFFSET(C452,-19,0,20,1)),"")</f>
        <v>157.0265</v>
      </c>
      <c r="I452" s="21" t="n">
        <f aca="true">IF(COUNTIFS($B$2:B452,B452)&gt;=50,AVERAGE(OFFSET(C452,-49,0,50,1)),"")</f>
        <v>155.3902</v>
      </c>
    </row>
    <row r="453" customFormat="false" ht="15" hidden="false" customHeight="false" outlineLevel="0" collapsed="false">
      <c r="A453" s="17" t="n">
        <f aca="false">Cours_Bruts!A453</f>
        <v>45790</v>
      </c>
      <c r="B453" s="18" t="str">
        <f aca="false">Cours_Bruts!B453</f>
        <v>JNJ</v>
      </c>
      <c r="C453" s="19" t="n">
        <f aca="false">Cours_Bruts!C453</f>
        <v>163.04</v>
      </c>
      <c r="D453" s="20" t="n">
        <f aca="false">IF(B453=B452,(C453-C452)/C452,"")</f>
        <v>0.0191273909238655</v>
      </c>
      <c r="E453" s="20" t="n">
        <f aca="false">IF(B453=B452,(1+E452)*(1+IF(D453="",0,D453))-1,0)</f>
        <v>0.0518709677419349</v>
      </c>
      <c r="F453" s="21" t="n">
        <f aca="false">IF(B453=B452,MAX(F452,C453),C453)</f>
        <v>163.04</v>
      </c>
      <c r="G453" s="20" t="n">
        <f aca="false">(C453-F453)/F453</f>
        <v>0</v>
      </c>
      <c r="H453" s="21" t="n">
        <f aca="true">IF(COUNTIFS($B$2:B453,B453)&gt;=20,AVERAGE(OFFSET(C453,-19,0,20,1)),"")</f>
        <v>157.2725</v>
      </c>
      <c r="I453" s="21" t="n">
        <f aca="true">IF(COUNTIFS($B$2:B453,B453)&gt;=50,AVERAGE(OFFSET(C453,-49,0,50,1)),"")</f>
        <v>155.5632</v>
      </c>
    </row>
    <row r="454" customFormat="false" ht="15" hidden="false" customHeight="false" outlineLevel="0" collapsed="false">
      <c r="A454" s="17" t="n">
        <f aca="false">Cours_Bruts!A454</f>
        <v>45791</v>
      </c>
      <c r="B454" s="18" t="str">
        <f aca="false">Cours_Bruts!B454</f>
        <v>JNJ</v>
      </c>
      <c r="C454" s="19" t="n">
        <f aca="false">Cours_Bruts!C454</f>
        <v>161.81</v>
      </c>
      <c r="D454" s="20" t="n">
        <f aca="false">IF(B454=B453,(C454-C453)/C453,"")</f>
        <v>-0.00754416094210004</v>
      </c>
      <c r="E454" s="20" t="n">
        <f aca="false">IF(B454=B453,(1+E453)*(1+IF(D454="",0,D454))-1,0)</f>
        <v>0.0439354838709671</v>
      </c>
      <c r="F454" s="21" t="n">
        <f aca="false">IF(B454=B453,MAX(F453,C454),C454)</f>
        <v>163.04</v>
      </c>
      <c r="G454" s="20" t="n">
        <f aca="false">(C454-F454)/F454</f>
        <v>-0.00754416094210004</v>
      </c>
      <c r="H454" s="21" t="n">
        <f aca="true">IF(COUNTIFS($B$2:B454,B454)&gt;=20,AVERAGE(OFFSET(C454,-19,0,20,1)),"")</f>
        <v>157.4915</v>
      </c>
      <c r="I454" s="21" t="n">
        <f aca="true">IF(COUNTIFS($B$2:B454,B454)&gt;=50,AVERAGE(OFFSET(C454,-49,0,50,1)),"")</f>
        <v>155.726</v>
      </c>
    </row>
    <row r="455" customFormat="false" ht="15" hidden="false" customHeight="false" outlineLevel="0" collapsed="false">
      <c r="A455" s="17" t="n">
        <f aca="false">Cours_Bruts!A455</f>
        <v>45792</v>
      </c>
      <c r="B455" s="18" t="str">
        <f aca="false">Cours_Bruts!B455</f>
        <v>JNJ</v>
      </c>
      <c r="C455" s="19" t="n">
        <f aca="false">Cours_Bruts!C455</f>
        <v>159.82</v>
      </c>
      <c r="D455" s="20" t="n">
        <f aca="false">IF(B455=B454,(C455-C454)/C454,"")</f>
        <v>-0.0122983746369199</v>
      </c>
      <c r="E455" s="20" t="n">
        <f aca="false">IF(B455=B454,(1+E454)*(1+IF(D455="",0,D455))-1,0)</f>
        <v>0.0310967741935477</v>
      </c>
      <c r="F455" s="21" t="n">
        <f aca="false">IF(B455=B454,MAX(F454,C455),C455)</f>
        <v>163.04</v>
      </c>
      <c r="G455" s="20" t="n">
        <f aca="false">(C455-F455)/F455</f>
        <v>-0.0197497546614328</v>
      </c>
      <c r="H455" s="21" t="n">
        <f aca="true">IF(COUNTIFS($B$2:B455,B455)&gt;=20,AVERAGE(OFFSET(C455,-19,0,20,1)),"")</f>
        <v>157.6765</v>
      </c>
      <c r="I455" s="21" t="n">
        <f aca="true">IF(COUNTIFS($B$2:B455,B455)&gt;=50,AVERAGE(OFFSET(C455,-49,0,50,1)),"")</f>
        <v>155.8616</v>
      </c>
    </row>
    <row r="456" customFormat="false" ht="15" hidden="false" customHeight="false" outlineLevel="0" collapsed="false">
      <c r="A456" s="17" t="n">
        <f aca="false">Cours_Bruts!A456</f>
        <v>45793</v>
      </c>
      <c r="B456" s="18" t="str">
        <f aca="false">Cours_Bruts!B456</f>
        <v>JNJ</v>
      </c>
      <c r="C456" s="19" t="n">
        <f aca="false">Cours_Bruts!C456</f>
        <v>156.99</v>
      </c>
      <c r="D456" s="20" t="n">
        <f aca="false">IF(B456=B455,(C456-C455)/C455,"")</f>
        <v>-0.0177074208484544</v>
      </c>
      <c r="E456" s="20" t="n">
        <f aca="false">IF(B456=B455,(1+E455)*(1+IF(D456="",0,D456))-1,0)</f>
        <v>0.0128387096774187</v>
      </c>
      <c r="F456" s="21" t="n">
        <f aca="false">IF(B456=B455,MAX(F455,C456),C456)</f>
        <v>163.04</v>
      </c>
      <c r="G456" s="20" t="n">
        <f aca="false">(C456-F456)/F456</f>
        <v>-0.0371074582924435</v>
      </c>
      <c r="H456" s="21" t="n">
        <f aca="true">IF(COUNTIFS($B$2:B456,B456)&gt;=20,AVERAGE(OFFSET(C456,-19,0,20,1)),"")</f>
        <v>157.653</v>
      </c>
      <c r="I456" s="21" t="n">
        <f aca="true">IF(COUNTIFS($B$2:B456,B456)&gt;=50,AVERAGE(OFFSET(C456,-49,0,50,1)),"")</f>
        <v>155.9278</v>
      </c>
    </row>
    <row r="457" customFormat="false" ht="15" hidden="false" customHeight="false" outlineLevel="0" collapsed="false">
      <c r="A457" s="17" t="n">
        <f aca="false">Cours_Bruts!A457</f>
        <v>45796</v>
      </c>
      <c r="B457" s="18" t="str">
        <f aca="false">Cours_Bruts!B457</f>
        <v>JNJ</v>
      </c>
      <c r="C457" s="19" t="n">
        <f aca="false">Cours_Bruts!C457</f>
        <v>159.4</v>
      </c>
      <c r="D457" s="20" t="n">
        <f aca="false">IF(B457=B456,(C457-C456)/C456,"")</f>
        <v>0.0153512962609083</v>
      </c>
      <c r="E457" s="20" t="n">
        <f aca="false">IF(B457=B456,(1+E456)*(1+IF(D457="",0,D457))-1,0)</f>
        <v>0.028387096774193</v>
      </c>
      <c r="F457" s="21" t="n">
        <f aca="false">IF(B457=B456,MAX(F456,C457),C457)</f>
        <v>163.04</v>
      </c>
      <c r="G457" s="20" t="n">
        <f aca="false">(C457-F457)/F457</f>
        <v>-0.0223258096172718</v>
      </c>
      <c r="H457" s="21" t="n">
        <f aca="true">IF(COUNTIFS($B$2:B457,B457)&gt;=20,AVERAGE(OFFSET(C457,-19,0,20,1)),"")</f>
        <v>157.816</v>
      </c>
      <c r="I457" s="21" t="n">
        <f aca="true">IF(COUNTIFS($B$2:B457,B457)&gt;=50,AVERAGE(OFFSET(C457,-49,0,50,1)),"")</f>
        <v>156.0544</v>
      </c>
    </row>
    <row r="458" customFormat="false" ht="15" hidden="false" customHeight="false" outlineLevel="0" collapsed="false">
      <c r="A458" s="17" t="n">
        <f aca="false">Cours_Bruts!A458</f>
        <v>45797</v>
      </c>
      <c r="B458" s="18" t="str">
        <f aca="false">Cours_Bruts!B458</f>
        <v>JNJ</v>
      </c>
      <c r="C458" s="19" t="n">
        <f aca="false">Cours_Bruts!C458</f>
        <v>160.48</v>
      </c>
      <c r="D458" s="20" t="n">
        <f aca="false">IF(B458=B457,(C458-C457)/C457,"")</f>
        <v>0.0067754077791718</v>
      </c>
      <c r="E458" s="20" t="n">
        <f aca="false">IF(B458=B457,(1+E457)*(1+IF(D458="",0,D458))-1,0)</f>
        <v>0.0353548387096767</v>
      </c>
      <c r="F458" s="21" t="n">
        <f aca="false">IF(B458=B457,MAX(F457,C458),C458)</f>
        <v>163.04</v>
      </c>
      <c r="G458" s="20" t="n">
        <f aca="false">(C458-F458)/F458</f>
        <v>-0.0157016683022571</v>
      </c>
      <c r="H458" s="21" t="n">
        <f aca="true">IF(COUNTIFS($B$2:B458,B458)&gt;=20,AVERAGE(OFFSET(C458,-19,0,20,1)),"")</f>
        <v>158.0255</v>
      </c>
      <c r="I458" s="21" t="n">
        <f aca="true">IF(COUNTIFS($B$2:B458,B458)&gt;=50,AVERAGE(OFFSET(C458,-49,0,50,1)),"")</f>
        <v>156.193</v>
      </c>
    </row>
    <row r="459" customFormat="false" ht="15" hidden="false" customHeight="false" outlineLevel="0" collapsed="false">
      <c r="A459" s="17" t="n">
        <f aca="false">Cours_Bruts!A459</f>
        <v>45798</v>
      </c>
      <c r="B459" s="18" t="str">
        <f aca="false">Cours_Bruts!B459</f>
        <v>JNJ</v>
      </c>
      <c r="C459" s="19" t="n">
        <f aca="false">Cours_Bruts!C459</f>
        <v>160.43</v>
      </c>
      <c r="D459" s="20" t="n">
        <f aca="false">IF(B459=B458,(C459-C458)/C458,"")</f>
        <v>-0.000311565304087631</v>
      </c>
      <c r="E459" s="20" t="n">
        <f aca="false">IF(B459=B458,(1+E458)*(1+IF(D459="",0,D459))-1,0)</f>
        <v>0.0350322580645155</v>
      </c>
      <c r="F459" s="21" t="n">
        <f aca="false">IF(B459=B458,MAX(F458,C459),C459)</f>
        <v>163.04</v>
      </c>
      <c r="G459" s="20" t="n">
        <f aca="false">(C459-F459)/F459</f>
        <v>-0.0160083415112855</v>
      </c>
      <c r="H459" s="21" t="n">
        <f aca="true">IF(COUNTIFS($B$2:B459,B459)&gt;=20,AVERAGE(OFFSET(C459,-19,0,20,1)),"")</f>
        <v>158.268</v>
      </c>
      <c r="I459" s="21" t="n">
        <f aca="true">IF(COUNTIFS($B$2:B459,B459)&gt;=50,AVERAGE(OFFSET(C459,-49,0,50,1)),"")</f>
        <v>156.2656</v>
      </c>
    </row>
    <row r="460" customFormat="false" ht="15" hidden="false" customHeight="false" outlineLevel="0" collapsed="false">
      <c r="A460" s="17" t="n">
        <f aca="false">Cours_Bruts!A460</f>
        <v>45799</v>
      </c>
      <c r="B460" s="18" t="str">
        <f aca="false">Cours_Bruts!B460</f>
        <v>JNJ</v>
      </c>
      <c r="C460" s="19" t="n">
        <f aca="false">Cours_Bruts!C460</f>
        <v>160.92</v>
      </c>
      <c r="D460" s="20" t="n">
        <f aca="false">IF(B460=B459,(C460-C459)/C459,"")</f>
        <v>0.00305429159134813</v>
      </c>
      <c r="E460" s="20" t="n">
        <f aca="false">IF(B460=B459,(1+E459)*(1+IF(D460="",0,D460))-1,0)</f>
        <v>0.0381935483870959</v>
      </c>
      <c r="F460" s="21" t="n">
        <f aca="false">IF(B460=B459,MAX(F459,C460),C460)</f>
        <v>163.04</v>
      </c>
      <c r="G460" s="20" t="n">
        <f aca="false">(C460-F460)/F460</f>
        <v>-0.0130029440628067</v>
      </c>
      <c r="H460" s="21" t="n">
        <f aca="true">IF(COUNTIFS($B$2:B460,B460)&gt;=20,AVERAGE(OFFSET(C460,-19,0,20,1)),"")</f>
        <v>158.496</v>
      </c>
      <c r="I460" s="21" t="n">
        <f aca="true">IF(COUNTIFS($B$2:B460,B460)&gt;=50,AVERAGE(OFFSET(C460,-49,0,50,1)),"")</f>
        <v>156.3198</v>
      </c>
    </row>
    <row r="461" customFormat="false" ht="15" hidden="false" customHeight="false" outlineLevel="0" collapsed="false">
      <c r="A461" s="17" t="n">
        <f aca="false">Cours_Bruts!A461</f>
        <v>45800</v>
      </c>
      <c r="B461" s="18" t="str">
        <f aca="false">Cours_Bruts!B461</f>
        <v>JNJ</v>
      </c>
      <c r="C461" s="19" t="n">
        <f aca="false">Cours_Bruts!C461</f>
        <v>159.14</v>
      </c>
      <c r="D461" s="20" t="n">
        <f aca="false">IF(B461=B460,(C461-C460)/C460,"")</f>
        <v>-0.0110613969674372</v>
      </c>
      <c r="E461" s="20" t="n">
        <f aca="false">IF(B461=B460,(1+E460)*(1+IF(D461="",0,D461))-1,0)</f>
        <v>0.026709677419354</v>
      </c>
      <c r="F461" s="21" t="n">
        <f aca="false">IF(B461=B460,MAX(F460,C461),C461)</f>
        <v>163.04</v>
      </c>
      <c r="G461" s="20" t="n">
        <f aca="false">(C461-F461)/F461</f>
        <v>-0.0239205103042199</v>
      </c>
      <c r="H461" s="21" t="n">
        <f aca="true">IF(COUNTIFS($B$2:B461,B461)&gt;=20,AVERAGE(OFFSET(C461,-19,0,20,1)),"")</f>
        <v>158.6065</v>
      </c>
      <c r="I461" s="21" t="n">
        <f aca="true">IF(COUNTIFS($B$2:B461,B461)&gt;=50,AVERAGE(OFFSET(C461,-49,0,50,1)),"")</f>
        <v>156.348</v>
      </c>
    </row>
    <row r="462" customFormat="false" ht="15" hidden="false" customHeight="false" outlineLevel="0" collapsed="false">
      <c r="A462" s="17" t="n">
        <f aca="false">Cours_Bruts!A462</f>
        <v>45803</v>
      </c>
      <c r="B462" s="18" t="str">
        <f aca="false">Cours_Bruts!B462</f>
        <v>JNJ</v>
      </c>
      <c r="C462" s="19" t="n">
        <f aca="false">Cours_Bruts!C462</f>
        <v>163.1</v>
      </c>
      <c r="D462" s="20" t="n">
        <f aca="false">IF(B462=B461,(C462-C461)/C461,"")</f>
        <v>0.0248837501570944</v>
      </c>
      <c r="E462" s="20" t="n">
        <f aca="false">IF(B462=B461,(1+E461)*(1+IF(D462="",0,D462))-1,0)</f>
        <v>0.0522580645161284</v>
      </c>
      <c r="F462" s="21" t="n">
        <f aca="false">IF(B462=B461,MAX(F461,C462),C462)</f>
        <v>163.1</v>
      </c>
      <c r="G462" s="20" t="n">
        <f aca="false">(C462-F462)/F462</f>
        <v>0</v>
      </c>
      <c r="H462" s="21" t="n">
        <f aca="true">IF(COUNTIFS($B$2:B462,B462)&gt;=20,AVERAGE(OFFSET(C462,-19,0,20,1)),"")</f>
        <v>158.831</v>
      </c>
      <c r="I462" s="21" t="n">
        <f aca="true">IF(COUNTIFS($B$2:B462,B462)&gt;=50,AVERAGE(OFFSET(C462,-49,0,50,1)),"")</f>
        <v>156.4164</v>
      </c>
    </row>
    <row r="463" customFormat="false" ht="15" hidden="false" customHeight="false" outlineLevel="0" collapsed="false">
      <c r="A463" s="17" t="n">
        <f aca="false">Cours_Bruts!A463</f>
        <v>45804</v>
      </c>
      <c r="B463" s="18" t="str">
        <f aca="false">Cours_Bruts!B463</f>
        <v>JNJ</v>
      </c>
      <c r="C463" s="19" t="n">
        <f aca="false">Cours_Bruts!C463</f>
        <v>163.35</v>
      </c>
      <c r="D463" s="20" t="n">
        <f aca="false">IF(B463=B462,(C463-C462)/C462,"")</f>
        <v>0.00153280196198651</v>
      </c>
      <c r="E463" s="20" t="n">
        <f aca="false">IF(B463=B462,(1+E462)*(1+IF(D463="",0,D463))-1,0)</f>
        <v>0.0538709677419347</v>
      </c>
      <c r="F463" s="21" t="n">
        <f aca="false">IF(B463=B462,MAX(F462,C463),C463)</f>
        <v>163.35</v>
      </c>
      <c r="G463" s="20" t="n">
        <f aca="false">(C463-F463)/F463</f>
        <v>0</v>
      </c>
      <c r="H463" s="21" t="n">
        <f aca="true">IF(COUNTIFS($B$2:B463,B463)&gt;=20,AVERAGE(OFFSET(C463,-19,0,20,1)),"")</f>
        <v>159.107</v>
      </c>
      <c r="I463" s="21" t="n">
        <f aca="true">IF(COUNTIFS($B$2:B463,B463)&gt;=50,AVERAGE(OFFSET(C463,-49,0,50,1)),"")</f>
        <v>156.5022</v>
      </c>
    </row>
    <row r="464" customFormat="false" ht="15" hidden="false" customHeight="false" outlineLevel="0" collapsed="false">
      <c r="A464" s="17" t="n">
        <f aca="false">Cours_Bruts!A464</f>
        <v>45805</v>
      </c>
      <c r="B464" s="18" t="str">
        <f aca="false">Cours_Bruts!B464</f>
        <v>JNJ</v>
      </c>
      <c r="C464" s="19" t="n">
        <f aca="false">Cours_Bruts!C464</f>
        <v>163.57</v>
      </c>
      <c r="D464" s="20" t="n">
        <f aca="false">IF(B464=B463,(C464-C463)/C463,"")</f>
        <v>0.00134680134680134</v>
      </c>
      <c r="E464" s="20" t="n">
        <f aca="false">IF(B464=B463,(1+E463)*(1+IF(D464="",0,D464))-1,0)</f>
        <v>0.0552903225806445</v>
      </c>
      <c r="F464" s="21" t="n">
        <f aca="false">IF(B464=B463,MAX(F463,C464),C464)</f>
        <v>163.57</v>
      </c>
      <c r="G464" s="20" t="n">
        <f aca="false">(C464-F464)/F464</f>
        <v>0</v>
      </c>
      <c r="H464" s="21" t="n">
        <f aca="true">IF(COUNTIFS($B$2:B464,B464)&gt;=20,AVERAGE(OFFSET(C464,-19,0,20,1)),"")</f>
        <v>159.4135</v>
      </c>
      <c r="I464" s="21" t="n">
        <f aca="true">IF(COUNTIFS($B$2:B464,B464)&gt;=50,AVERAGE(OFFSET(C464,-49,0,50,1)),"")</f>
        <v>156.657</v>
      </c>
    </row>
    <row r="465" customFormat="false" ht="15" hidden="false" customHeight="false" outlineLevel="0" collapsed="false">
      <c r="A465" s="17" t="n">
        <f aca="false">Cours_Bruts!A465</f>
        <v>45806</v>
      </c>
      <c r="B465" s="18" t="str">
        <f aca="false">Cours_Bruts!B465</f>
        <v>JNJ</v>
      </c>
      <c r="C465" s="19" t="n">
        <f aca="false">Cours_Bruts!C465</f>
        <v>164.8</v>
      </c>
      <c r="D465" s="20" t="n">
        <f aca="false">IF(B465=B464,(C465-C464)/C464,"")</f>
        <v>0.00751971632940037</v>
      </c>
      <c r="E465" s="20" t="n">
        <f aca="false">IF(B465=B464,(1+E464)*(1+IF(D465="",0,D465))-1,0)</f>
        <v>0.0632258064516122</v>
      </c>
      <c r="F465" s="21" t="n">
        <f aca="false">IF(B465=B464,MAX(F464,C465),C465)</f>
        <v>164.8</v>
      </c>
      <c r="G465" s="20" t="n">
        <f aca="false">(C465-F465)/F465</f>
        <v>0</v>
      </c>
      <c r="H465" s="21" t="n">
        <f aca="true">IF(COUNTIFS($B$2:B465,B465)&gt;=20,AVERAGE(OFFSET(C465,-19,0,20,1)),"")</f>
        <v>159.8575</v>
      </c>
      <c r="I465" s="21" t="n">
        <f aca="true">IF(COUNTIFS($B$2:B465,B465)&gt;=50,AVERAGE(OFFSET(C465,-49,0,50,1)),"")</f>
        <v>156.8674</v>
      </c>
    </row>
    <row r="466" customFormat="false" ht="15" hidden="false" customHeight="false" outlineLevel="0" collapsed="false">
      <c r="A466" s="17" t="n">
        <f aca="false">Cours_Bruts!A466</f>
        <v>45807</v>
      </c>
      <c r="B466" s="18" t="str">
        <f aca="false">Cours_Bruts!B466</f>
        <v>JNJ</v>
      </c>
      <c r="C466" s="19" t="n">
        <f aca="false">Cours_Bruts!C466</f>
        <v>165.64</v>
      </c>
      <c r="D466" s="20" t="n">
        <f aca="false">IF(B466=B465,(C466-C465)/C465,"")</f>
        <v>0.00509708737864062</v>
      </c>
      <c r="E466" s="20" t="n">
        <f aca="false">IF(B466=B465,(1+E465)*(1+IF(D466="",0,D466))-1,0)</f>
        <v>0.0686451612903218</v>
      </c>
      <c r="F466" s="21" t="n">
        <f aca="false">IF(B466=B465,MAX(F465,C466),C466)</f>
        <v>165.64</v>
      </c>
      <c r="G466" s="20" t="n">
        <f aca="false">(C466-F466)/F466</f>
        <v>0</v>
      </c>
      <c r="H466" s="21" t="n">
        <f aca="true">IF(COUNTIFS($B$2:B466,B466)&gt;=20,AVERAGE(OFFSET(C466,-19,0,20,1)),"")</f>
        <v>160.3765</v>
      </c>
      <c r="I466" s="21" t="n">
        <f aca="true">IF(COUNTIFS($B$2:B466,B466)&gt;=50,AVERAGE(OFFSET(C466,-49,0,50,1)),"")</f>
        <v>157.152</v>
      </c>
    </row>
    <row r="467" customFormat="false" ht="15" hidden="false" customHeight="false" outlineLevel="0" collapsed="false">
      <c r="A467" s="17" t="n">
        <f aca="false">Cours_Bruts!A467</f>
        <v>45810</v>
      </c>
      <c r="B467" s="18" t="str">
        <f aca="false">Cours_Bruts!B467</f>
        <v>JNJ</v>
      </c>
      <c r="C467" s="19" t="n">
        <f aca="false">Cours_Bruts!C467</f>
        <v>166.05</v>
      </c>
      <c r="D467" s="20" t="n">
        <f aca="false">IF(B467=B466,(C467-C466)/C466,"")</f>
        <v>0.00247524752475263</v>
      </c>
      <c r="E467" s="20" t="n">
        <f aca="false">IF(B467=B466,(1+E466)*(1+IF(D467="",0,D467))-1,0)</f>
        <v>0.0712903225806447</v>
      </c>
      <c r="F467" s="21" t="n">
        <f aca="false">IF(B467=B466,MAX(F466,C467),C467)</f>
        <v>166.05</v>
      </c>
      <c r="G467" s="20" t="n">
        <f aca="false">(C467-F467)/F467</f>
        <v>0</v>
      </c>
      <c r="H467" s="21" t="n">
        <f aca="true">IF(COUNTIFS($B$2:B467,B467)&gt;=20,AVERAGE(OFFSET(C467,-19,0,20,1)),"")</f>
        <v>160.8845</v>
      </c>
      <c r="I467" s="21" t="n">
        <f aca="true">IF(COUNTIFS($B$2:B467,B467)&gt;=50,AVERAGE(OFFSET(C467,-49,0,50,1)),"")</f>
        <v>157.4548</v>
      </c>
    </row>
    <row r="468" customFormat="false" ht="15" hidden="false" customHeight="false" outlineLevel="0" collapsed="false">
      <c r="A468" s="17" t="n">
        <f aca="false">Cours_Bruts!A468</f>
        <v>45811</v>
      </c>
      <c r="B468" s="18" t="str">
        <f aca="false">Cours_Bruts!B468</f>
        <v>JNJ</v>
      </c>
      <c r="C468" s="19" t="n">
        <f aca="false">Cours_Bruts!C468</f>
        <v>164.77</v>
      </c>
      <c r="D468" s="20" t="n">
        <f aca="false">IF(B468=B467,(C468-C467)/C467,"")</f>
        <v>-0.00770852152965975</v>
      </c>
      <c r="E468" s="20" t="n">
        <f aca="false">IF(B468=B467,(1+E467)*(1+IF(D468="",0,D468))-1,0)</f>
        <v>0.0630322580645157</v>
      </c>
      <c r="F468" s="21" t="n">
        <f aca="false">IF(B468=B467,MAX(F467,C468),C468)</f>
        <v>166.05</v>
      </c>
      <c r="G468" s="20" t="n">
        <f aca="false">(C468-F468)/F468</f>
        <v>-0.00770852152965975</v>
      </c>
      <c r="H468" s="21" t="n">
        <f aca="true">IF(COUNTIFS($B$2:B468,B468)&gt;=20,AVERAGE(OFFSET(C468,-19,0,20,1)),"")</f>
        <v>161.2675</v>
      </c>
      <c r="I468" s="21" t="n">
        <f aca="true">IF(COUNTIFS($B$2:B468,B468)&gt;=50,AVERAGE(OFFSET(C468,-49,0,50,1)),"")</f>
        <v>157.7306</v>
      </c>
    </row>
    <row r="469" customFormat="false" ht="15" hidden="false" customHeight="false" outlineLevel="0" collapsed="false">
      <c r="A469" s="17" t="n">
        <f aca="false">Cours_Bruts!A469</f>
        <v>45812</v>
      </c>
      <c r="B469" s="18" t="str">
        <f aca="false">Cours_Bruts!B469</f>
        <v>JNJ</v>
      </c>
      <c r="C469" s="19" t="n">
        <f aca="false">Cours_Bruts!C469</f>
        <v>165.59</v>
      </c>
      <c r="D469" s="20" t="n">
        <f aca="false">IF(B469=B468,(C469-C468)/C468,"")</f>
        <v>0.00497663409601258</v>
      </c>
      <c r="E469" s="20" t="n">
        <f aca="false">IF(B469=B468,(1+E468)*(1+IF(D469="",0,D469))-1,0)</f>
        <v>0.0683225806451611</v>
      </c>
      <c r="F469" s="21" t="n">
        <f aca="false">IF(B469=B468,MAX(F468,C469),C469)</f>
        <v>166.05</v>
      </c>
      <c r="G469" s="20" t="n">
        <f aca="false">(C469-F469)/F469</f>
        <v>-0.00277024992472152</v>
      </c>
      <c r="H469" s="21" t="n">
        <f aca="true">IF(COUNTIFS($B$2:B469,B469)&gt;=20,AVERAGE(OFFSET(C469,-19,0,20,1)),"")</f>
        <v>161.7625</v>
      </c>
      <c r="I469" s="21" t="n">
        <f aca="true">IF(COUNTIFS($B$2:B469,B469)&gt;=50,AVERAGE(OFFSET(C469,-49,0,50,1)),"")</f>
        <v>157.9712</v>
      </c>
    </row>
    <row r="470" customFormat="false" ht="15" hidden="false" customHeight="false" outlineLevel="0" collapsed="false">
      <c r="A470" s="17" t="n">
        <f aca="false">Cours_Bruts!A470</f>
        <v>45813</v>
      </c>
      <c r="B470" s="18" t="str">
        <f aca="false">Cours_Bruts!B470</f>
        <v>JNJ</v>
      </c>
      <c r="C470" s="19" t="n">
        <f aca="false">Cours_Bruts!C470</f>
        <v>168.77</v>
      </c>
      <c r="D470" s="20" t="n">
        <f aca="false">IF(B470=B469,(C470-C469)/C469,"")</f>
        <v>0.0192040582160759</v>
      </c>
      <c r="E470" s="20" t="n">
        <f aca="false">IF(B470=B469,(1+E469)*(1+IF(D470="",0,D470))-1,0)</f>
        <v>0.0888387096774193</v>
      </c>
      <c r="F470" s="21" t="n">
        <f aca="false">IF(B470=B469,MAX(F469,C470),C470)</f>
        <v>168.77</v>
      </c>
      <c r="G470" s="20" t="n">
        <f aca="false">(C470-F470)/F470</f>
        <v>0</v>
      </c>
      <c r="H470" s="21" t="n">
        <f aca="true">IF(COUNTIFS($B$2:B470,B470)&gt;=20,AVERAGE(OFFSET(C470,-19,0,20,1)),"")</f>
        <v>162.3465</v>
      </c>
      <c r="I470" s="21" t="n">
        <f aca="true">IF(COUNTIFS($B$2:B470,B470)&gt;=50,AVERAGE(OFFSET(C470,-49,0,50,1)),"")</f>
        <v>158.2646</v>
      </c>
    </row>
    <row r="471" customFormat="false" ht="15" hidden="false" customHeight="false" outlineLevel="0" collapsed="false">
      <c r="A471" s="17" t="n">
        <f aca="false">Cours_Bruts!A471</f>
        <v>45814</v>
      </c>
      <c r="B471" s="18" t="str">
        <f aca="false">Cours_Bruts!B471</f>
        <v>JNJ</v>
      </c>
      <c r="C471" s="19" t="n">
        <f aca="false">Cours_Bruts!C471</f>
        <v>171.1</v>
      </c>
      <c r="D471" s="20" t="n">
        <f aca="false">IF(B471=B470,(C471-C470)/C470,"")</f>
        <v>0.0138057711678615</v>
      </c>
      <c r="E471" s="20" t="n">
        <f aca="false">IF(B471=B470,(1+E470)*(1+IF(D471="",0,D471))-1,0)</f>
        <v>0.103870967741935</v>
      </c>
      <c r="F471" s="21" t="n">
        <f aca="false">IF(B471=B470,MAX(F470,C471),C471)</f>
        <v>171.1</v>
      </c>
      <c r="G471" s="20" t="n">
        <f aca="false">(C471-F471)/F471</f>
        <v>0</v>
      </c>
      <c r="H471" s="21" t="n">
        <f aca="true">IF(COUNTIFS($B$2:B471,B471)&gt;=20,AVERAGE(OFFSET(C471,-19,0,20,1)),"")</f>
        <v>162.9375</v>
      </c>
      <c r="I471" s="21" t="n">
        <f aca="true">IF(COUNTIFS($B$2:B471,B471)&gt;=50,AVERAGE(OFFSET(C471,-49,0,50,1)),"")</f>
        <v>158.6106</v>
      </c>
    </row>
    <row r="472" customFormat="false" ht="15" hidden="false" customHeight="false" outlineLevel="0" collapsed="false">
      <c r="A472" s="17" t="n">
        <f aca="false">Cours_Bruts!A472</f>
        <v>45817</v>
      </c>
      <c r="B472" s="18" t="str">
        <f aca="false">Cours_Bruts!B472</f>
        <v>JNJ</v>
      </c>
      <c r="C472" s="19" t="n">
        <f aca="false">Cours_Bruts!C472</f>
        <v>173.89</v>
      </c>
      <c r="D472" s="20" t="n">
        <f aca="false">IF(B472=B471,(C472-C471)/C471,"")</f>
        <v>0.0163062536528346</v>
      </c>
      <c r="E472" s="20" t="n">
        <f aca="false">IF(B472=B471,(1+E471)*(1+IF(D472="",0,D472))-1,0)</f>
        <v>0.121870967741935</v>
      </c>
      <c r="F472" s="21" t="n">
        <f aca="false">IF(B472=B471,MAX(F471,C472),C472)</f>
        <v>173.89</v>
      </c>
      <c r="G472" s="20" t="n">
        <f aca="false">(C472-F472)/F472</f>
        <v>0</v>
      </c>
      <c r="H472" s="21" t="n">
        <f aca="true">IF(COUNTIFS($B$2:B472,B472)&gt;=20,AVERAGE(OFFSET(C472,-19,0,20,1)),"")</f>
        <v>163.633</v>
      </c>
      <c r="I472" s="21" t="n">
        <f aca="true">IF(COUNTIFS($B$2:B472,B472)&gt;=50,AVERAGE(OFFSET(C472,-49,0,50,1)),"")</f>
        <v>158.986</v>
      </c>
    </row>
    <row r="473" customFormat="false" ht="15" hidden="false" customHeight="false" outlineLevel="0" collapsed="false">
      <c r="A473" s="17" t="n">
        <f aca="false">Cours_Bruts!A473</f>
        <v>45818</v>
      </c>
      <c r="B473" s="18" t="str">
        <f aca="false">Cours_Bruts!B473</f>
        <v>JNJ</v>
      </c>
      <c r="C473" s="19" t="n">
        <f aca="false">Cours_Bruts!C473</f>
        <v>173.04</v>
      </c>
      <c r="D473" s="20" t="n">
        <f aca="false">IF(B473=B472,(C473-C472)/C472,"")</f>
        <v>-0.00488814767956751</v>
      </c>
      <c r="E473" s="20" t="n">
        <f aca="false">IF(B473=B472,(1+E472)*(1+IF(D473="",0,D473))-1,0)</f>
        <v>0.116387096774193</v>
      </c>
      <c r="F473" s="21" t="n">
        <f aca="false">IF(B473=B472,MAX(F472,C473),C473)</f>
        <v>173.89</v>
      </c>
      <c r="G473" s="20" t="n">
        <f aca="false">(C473-F473)/F473</f>
        <v>-0.00488814767956751</v>
      </c>
      <c r="H473" s="21" t="n">
        <f aca="true">IF(COUNTIFS($B$2:B473,B473)&gt;=20,AVERAGE(OFFSET(C473,-19,0,20,1)),"")</f>
        <v>164.133</v>
      </c>
      <c r="I473" s="21" t="n">
        <f aca="true">IF(COUNTIFS($B$2:B473,B473)&gt;=50,AVERAGE(OFFSET(C473,-49,0,50,1)),"")</f>
        <v>159.4128</v>
      </c>
    </row>
    <row r="474" customFormat="false" ht="15" hidden="false" customHeight="false" outlineLevel="0" collapsed="false">
      <c r="A474" s="17" t="n">
        <f aca="false">Cours_Bruts!A474</f>
        <v>45819</v>
      </c>
      <c r="B474" s="18" t="str">
        <f aca="false">Cours_Bruts!B474</f>
        <v>JNJ</v>
      </c>
      <c r="C474" s="19" t="n">
        <f aca="false">Cours_Bruts!C474</f>
        <v>171.35</v>
      </c>
      <c r="D474" s="20" t="n">
        <f aca="false">IF(B474=B473,(C474-C473)/C473,"")</f>
        <v>-0.00976652797041145</v>
      </c>
      <c r="E474" s="20" t="n">
        <f aca="false">IF(B474=B473,(1+E473)*(1+IF(D474="",0,D474))-1,0)</f>
        <v>0.105483870967741</v>
      </c>
      <c r="F474" s="21" t="n">
        <f aca="false">IF(B474=B473,MAX(F473,C474),C474)</f>
        <v>173.89</v>
      </c>
      <c r="G474" s="20" t="n">
        <f aca="false">(C474-F474)/F474</f>
        <v>-0.014606935418943</v>
      </c>
      <c r="H474" s="21" t="n">
        <f aca="true">IF(COUNTIFS($B$2:B474,B474)&gt;=20,AVERAGE(OFFSET(C474,-19,0,20,1)),"")</f>
        <v>164.61</v>
      </c>
      <c r="I474" s="21" t="n">
        <f aca="true">IF(COUNTIFS($B$2:B474,B474)&gt;=50,AVERAGE(OFFSET(C474,-49,0,50,1)),"")</f>
        <v>159.7978</v>
      </c>
    </row>
    <row r="475" customFormat="false" ht="15" hidden="false" customHeight="false" outlineLevel="0" collapsed="false">
      <c r="A475" s="17" t="n">
        <f aca="false">Cours_Bruts!A475</f>
        <v>45820</v>
      </c>
      <c r="B475" s="18" t="str">
        <f aca="false">Cours_Bruts!B475</f>
        <v>JNJ</v>
      </c>
      <c r="C475" s="19" t="n">
        <f aca="false">Cours_Bruts!C475</f>
        <v>171.18</v>
      </c>
      <c r="D475" s="20" t="n">
        <f aca="false">IF(B475=B474,(C475-C474)/C474,"")</f>
        <v>-0.000992121388969872</v>
      </c>
      <c r="E475" s="20" t="n">
        <f aca="false">IF(B475=B474,(1+E474)*(1+IF(D475="",0,D475))-1,0)</f>
        <v>0.104387096774193</v>
      </c>
      <c r="F475" s="21" t="n">
        <f aca="false">IF(B475=B474,MAX(F474,C475),C475)</f>
        <v>173.89</v>
      </c>
      <c r="G475" s="20" t="n">
        <f aca="false">(C475-F475)/F475</f>
        <v>-0.0155845649548564</v>
      </c>
      <c r="H475" s="21" t="n">
        <f aca="true">IF(COUNTIFS($B$2:B475,B475)&gt;=20,AVERAGE(OFFSET(C475,-19,0,20,1)),"")</f>
        <v>165.178</v>
      </c>
      <c r="I475" s="21" t="n">
        <f aca="true">IF(COUNTIFS($B$2:B475,B475)&gt;=50,AVERAGE(OFFSET(C475,-49,0,50,1)),"")</f>
        <v>160.155</v>
      </c>
    </row>
    <row r="476" customFormat="false" ht="15" hidden="false" customHeight="false" outlineLevel="0" collapsed="false">
      <c r="A476" s="17" t="n">
        <f aca="false">Cours_Bruts!A476</f>
        <v>45821</v>
      </c>
      <c r="B476" s="18" t="str">
        <f aca="false">Cours_Bruts!B476</f>
        <v>JNJ</v>
      </c>
      <c r="C476" s="19" t="n">
        <f aca="false">Cours_Bruts!C476</f>
        <v>171.31</v>
      </c>
      <c r="D476" s="20" t="n">
        <f aca="false">IF(B476=B475,(C476-C475)/C475,"")</f>
        <v>0.000759434513377704</v>
      </c>
      <c r="E476" s="20" t="n">
        <f aca="false">IF(B476=B475,(1+E475)*(1+IF(D476="",0,D476))-1,0)</f>
        <v>0.105225806451613</v>
      </c>
      <c r="F476" s="21" t="n">
        <f aca="false">IF(B476=B475,MAX(F475,C476),C476)</f>
        <v>173.89</v>
      </c>
      <c r="G476" s="20" t="n">
        <f aca="false">(C476-F476)/F476</f>
        <v>-0.0148369658979814</v>
      </c>
      <c r="H476" s="21" t="n">
        <f aca="true">IF(COUNTIFS($B$2:B476,B476)&gt;=20,AVERAGE(OFFSET(C476,-19,0,20,1)),"")</f>
        <v>165.894</v>
      </c>
      <c r="I476" s="21" t="n">
        <f aca="true">IF(COUNTIFS($B$2:B476,B476)&gt;=50,AVERAGE(OFFSET(C476,-49,0,50,1)),"")</f>
        <v>160.5598</v>
      </c>
    </row>
    <row r="477" customFormat="false" ht="15" hidden="false" customHeight="false" outlineLevel="0" collapsed="false">
      <c r="A477" s="17" t="n">
        <f aca="false">Cours_Bruts!A477</f>
        <v>45824</v>
      </c>
      <c r="B477" s="18" t="str">
        <f aca="false">Cours_Bruts!B477</f>
        <v>JNJ</v>
      </c>
      <c r="C477" s="19" t="n">
        <f aca="false">Cours_Bruts!C477</f>
        <v>173.24</v>
      </c>
      <c r="D477" s="20" t="n">
        <f aca="false">IF(B477=B476,(C477-C476)/C476,"")</f>
        <v>0.0112661257369681</v>
      </c>
      <c r="E477" s="20" t="n">
        <f aca="false">IF(B477=B476,(1+E476)*(1+IF(D477="",0,D477))-1,0)</f>
        <v>0.117677419354838</v>
      </c>
      <c r="F477" s="21" t="n">
        <f aca="false">IF(B477=B476,MAX(F476,C477),C477)</f>
        <v>173.89</v>
      </c>
      <c r="G477" s="20" t="n">
        <f aca="false">(C477-F477)/F477</f>
        <v>-0.00373799528437505</v>
      </c>
      <c r="H477" s="21" t="n">
        <f aca="true">IF(COUNTIFS($B$2:B477,B477)&gt;=20,AVERAGE(OFFSET(C477,-19,0,20,1)),"")</f>
        <v>166.586</v>
      </c>
      <c r="I477" s="21" t="n">
        <f aca="true">IF(COUNTIFS($B$2:B477,B477)&gt;=50,AVERAGE(OFFSET(C477,-49,0,50,1)),"")</f>
        <v>160.9676</v>
      </c>
    </row>
    <row r="478" customFormat="false" ht="15" hidden="false" customHeight="false" outlineLevel="0" collapsed="false">
      <c r="A478" s="17" t="n">
        <f aca="false">Cours_Bruts!A478</f>
        <v>45825</v>
      </c>
      <c r="B478" s="18" t="str">
        <f aca="false">Cours_Bruts!B478</f>
        <v>JNJ</v>
      </c>
      <c r="C478" s="19" t="n">
        <f aca="false">Cours_Bruts!C478</f>
        <v>170.33</v>
      </c>
      <c r="D478" s="20" t="n">
        <f aca="false">IF(B478=B477,(C478-C477)/C477,"")</f>
        <v>-0.0167975063495728</v>
      </c>
      <c r="E478" s="20" t="n">
        <f aca="false">IF(B478=B477,(1+E477)*(1+IF(D478="",0,D478))-1,0)</f>
        <v>0.0989032258064515</v>
      </c>
      <c r="F478" s="21" t="n">
        <f aca="false">IF(B478=B477,MAX(F477,C478),C478)</f>
        <v>173.89</v>
      </c>
      <c r="G478" s="20" t="n">
        <f aca="false">(C478-F478)/F478</f>
        <v>-0.0204727126344239</v>
      </c>
      <c r="H478" s="21" t="n">
        <f aca="true">IF(COUNTIFS($B$2:B478,B478)&gt;=20,AVERAGE(OFFSET(C478,-19,0,20,1)),"")</f>
        <v>167.0785</v>
      </c>
      <c r="I478" s="21" t="n">
        <f aca="true">IF(COUNTIFS($B$2:B478,B478)&gt;=50,AVERAGE(OFFSET(C478,-49,0,50,1)),"")</f>
        <v>161.3062</v>
      </c>
    </row>
    <row r="479" customFormat="false" ht="15" hidden="false" customHeight="false" outlineLevel="0" collapsed="false">
      <c r="A479" s="17" t="n">
        <f aca="false">Cours_Bruts!A479</f>
        <v>45826</v>
      </c>
      <c r="B479" s="18" t="str">
        <f aca="false">Cours_Bruts!B479</f>
        <v>JNJ</v>
      </c>
      <c r="C479" s="19" t="n">
        <f aca="false">Cours_Bruts!C479</f>
        <v>172.99</v>
      </c>
      <c r="D479" s="20" t="n">
        <f aca="false">IF(B479=B478,(C479-C478)/C478,"")</f>
        <v>0.0156167439675923</v>
      </c>
      <c r="E479" s="20" t="n">
        <f aca="false">IF(B479=B478,(1+E478)*(1+IF(D479="",0,D479))-1,0)</f>
        <v>0.116064516129032</v>
      </c>
      <c r="F479" s="21" t="n">
        <f aca="false">IF(B479=B478,MAX(F478,C479),C479)</f>
        <v>173.89</v>
      </c>
      <c r="G479" s="20" t="n">
        <f aca="false">(C479-F479)/F479</f>
        <v>-0.0051756857783655</v>
      </c>
      <c r="H479" s="21" t="n">
        <f aca="true">IF(COUNTIFS($B$2:B479,B479)&gt;=20,AVERAGE(OFFSET(C479,-19,0,20,1)),"")</f>
        <v>167.7065</v>
      </c>
      <c r="I479" s="21" t="n">
        <f aca="true">IF(COUNTIFS($B$2:B479,B479)&gt;=50,AVERAGE(OFFSET(C479,-49,0,50,1)),"")</f>
        <v>161.71</v>
      </c>
    </row>
    <row r="480" customFormat="false" ht="15" hidden="false" customHeight="false" outlineLevel="0" collapsed="false">
      <c r="A480" s="17" t="n">
        <f aca="false">Cours_Bruts!A480</f>
        <v>45827</v>
      </c>
      <c r="B480" s="18" t="str">
        <f aca="false">Cours_Bruts!B480</f>
        <v>JNJ</v>
      </c>
      <c r="C480" s="19" t="n">
        <f aca="false">Cours_Bruts!C480</f>
        <v>172.76</v>
      </c>
      <c r="D480" s="20" t="n">
        <f aca="false">IF(B480=B479,(C480-C479)/C479,"")</f>
        <v>-0.00132955662177015</v>
      </c>
      <c r="E480" s="20" t="n">
        <f aca="false">IF(B480=B479,(1+E479)*(1+IF(D480="",0,D480))-1,0)</f>
        <v>0.11458064516129</v>
      </c>
      <c r="F480" s="21" t="n">
        <f aca="false">IF(B480=B479,MAX(F479,C480),C480)</f>
        <v>173.89</v>
      </c>
      <c r="G480" s="20" t="n">
        <f aca="false">(C480-F480)/F480</f>
        <v>-0.00649836103283683</v>
      </c>
      <c r="H480" s="21" t="n">
        <f aca="true">IF(COUNTIFS($B$2:B480,B480)&gt;=20,AVERAGE(OFFSET(C480,-19,0,20,1)),"")</f>
        <v>168.2985</v>
      </c>
      <c r="I480" s="21" t="n">
        <f aca="true">IF(COUNTIFS($B$2:B480,B480)&gt;=50,AVERAGE(OFFSET(C480,-49,0,50,1)),"")</f>
        <v>162.089</v>
      </c>
    </row>
    <row r="481" customFormat="false" ht="15" hidden="false" customHeight="false" outlineLevel="0" collapsed="false">
      <c r="A481" s="17" t="n">
        <f aca="false">Cours_Bruts!A481</f>
        <v>45828</v>
      </c>
      <c r="B481" s="18" t="str">
        <f aca="false">Cours_Bruts!B481</f>
        <v>JNJ</v>
      </c>
      <c r="C481" s="19" t="n">
        <f aca="false">Cours_Bruts!C481</f>
        <v>172.06</v>
      </c>
      <c r="D481" s="20" t="n">
        <f aca="false">IF(B481=B480,(C481-C480)/C480,"")</f>
        <v>-0.00405186385737433</v>
      </c>
      <c r="E481" s="20" t="n">
        <f aca="false">IF(B481=B480,(1+E480)*(1+IF(D481="",0,D481))-1,0)</f>
        <v>0.110064516129032</v>
      </c>
      <c r="F481" s="21" t="n">
        <f aca="false">IF(B481=B480,MAX(F480,C481),C481)</f>
        <v>173.89</v>
      </c>
      <c r="G481" s="20" t="n">
        <f aca="false">(C481-F481)/F481</f>
        <v>-0.01052389441601</v>
      </c>
      <c r="H481" s="21" t="n">
        <f aca="true">IF(COUNTIFS($B$2:B481,B481)&gt;=20,AVERAGE(OFFSET(C481,-19,0,20,1)),"")</f>
        <v>168.9445</v>
      </c>
      <c r="I481" s="21" t="n">
        <f aca="true">IF(COUNTIFS($B$2:B481,B481)&gt;=50,AVERAGE(OFFSET(C481,-49,0,50,1)),"")</f>
        <v>162.3828</v>
      </c>
    </row>
    <row r="482" customFormat="false" ht="15" hidden="false" customHeight="false" outlineLevel="0" collapsed="false">
      <c r="A482" s="17" t="n">
        <f aca="false">Cours_Bruts!A482</f>
        <v>45719</v>
      </c>
      <c r="B482" s="18" t="str">
        <f aca="false">Cours_Bruts!B482</f>
        <v>BNP</v>
      </c>
      <c r="C482" s="19" t="n">
        <f aca="false">Cours_Bruts!C482</f>
        <v>60</v>
      </c>
      <c r="D482" s="20" t="str">
        <f aca="false">IF(B482=B481,(C482-C481)/C481,"")</f>
        <v/>
      </c>
      <c r="E482" s="20" t="n">
        <f aca="false">IF(B482=B481,(1+E481)*(1+IF(D482="",0,D482))-1,0)</f>
        <v>0</v>
      </c>
      <c r="F482" s="21" t="n">
        <f aca="false">IF(B482=B481,MAX(F481,C482),C482)</f>
        <v>60</v>
      </c>
      <c r="G482" s="20" t="n">
        <f aca="false">(C482-F482)/F482</f>
        <v>0</v>
      </c>
      <c r="H482" s="21" t="str">
        <f aca="true">IF(COUNTIFS($B$2:B482,B482)&gt;=20,AVERAGE(OFFSET(C482,-19,0,20,1)),"")</f>
        <v/>
      </c>
      <c r="I482" s="21" t="str">
        <f aca="true">IF(COUNTIFS($B$2:B482,B482)&gt;=50,AVERAGE(OFFSET(C482,-49,0,50,1)),"")</f>
        <v/>
      </c>
    </row>
    <row r="483" customFormat="false" ht="15" hidden="false" customHeight="false" outlineLevel="0" collapsed="false">
      <c r="A483" s="17" t="n">
        <f aca="false">Cours_Bruts!A483</f>
        <v>45720</v>
      </c>
      <c r="B483" s="18" t="str">
        <f aca="false">Cours_Bruts!B483</f>
        <v>BNP</v>
      </c>
      <c r="C483" s="19" t="n">
        <f aca="false">Cours_Bruts!C483</f>
        <v>60.24</v>
      </c>
      <c r="D483" s="20" t="n">
        <f aca="false">IF(B483=B482,(C483-C482)/C482,"")</f>
        <v>0.00400000000000003</v>
      </c>
      <c r="E483" s="20" t="n">
        <f aca="false">IF(B483=B482,(1+E482)*(1+IF(D483="",0,D483))-1,0)</f>
        <v>0.004</v>
      </c>
      <c r="F483" s="21" t="n">
        <f aca="false">IF(B483=B482,MAX(F482,C483),C483)</f>
        <v>60.24</v>
      </c>
      <c r="G483" s="20" t="n">
        <f aca="false">(C483-F483)/F483</f>
        <v>0</v>
      </c>
      <c r="H483" s="21" t="str">
        <f aca="true">IF(COUNTIFS($B$2:B483,B483)&gt;=20,AVERAGE(OFFSET(C483,-19,0,20,1)),"")</f>
        <v/>
      </c>
      <c r="I483" s="21" t="str">
        <f aca="true">IF(COUNTIFS($B$2:B483,B483)&gt;=50,AVERAGE(OFFSET(C483,-49,0,50,1)),"")</f>
        <v/>
      </c>
    </row>
    <row r="484" customFormat="false" ht="15" hidden="false" customHeight="false" outlineLevel="0" collapsed="false">
      <c r="A484" s="17" t="n">
        <f aca="false">Cours_Bruts!A484</f>
        <v>45721</v>
      </c>
      <c r="B484" s="18" t="str">
        <f aca="false">Cours_Bruts!B484</f>
        <v>BNP</v>
      </c>
      <c r="C484" s="19" t="n">
        <f aca="false">Cours_Bruts!C484</f>
        <v>59.74</v>
      </c>
      <c r="D484" s="20" t="n">
        <f aca="false">IF(B484=B483,(C484-C483)/C483,"")</f>
        <v>-0.00830013280212483</v>
      </c>
      <c r="E484" s="20" t="n">
        <f aca="false">IF(B484=B483,(1+E483)*(1+IF(D484="",0,D484))-1,0)</f>
        <v>-0.0043333333333333</v>
      </c>
      <c r="F484" s="21" t="n">
        <f aca="false">IF(B484=B483,MAX(F483,C484),C484)</f>
        <v>60.24</v>
      </c>
      <c r="G484" s="20" t="n">
        <f aca="false">(C484-F484)/F484</f>
        <v>-0.00830013280212483</v>
      </c>
      <c r="H484" s="21" t="str">
        <f aca="true">IF(COUNTIFS($B$2:B484,B484)&gt;=20,AVERAGE(OFFSET(C484,-19,0,20,1)),"")</f>
        <v/>
      </c>
      <c r="I484" s="21" t="str">
        <f aca="true">IF(COUNTIFS($B$2:B484,B484)&gt;=50,AVERAGE(OFFSET(C484,-49,0,50,1)),"")</f>
        <v/>
      </c>
    </row>
    <row r="485" customFormat="false" ht="15" hidden="false" customHeight="false" outlineLevel="0" collapsed="false">
      <c r="A485" s="17" t="n">
        <f aca="false">Cours_Bruts!A485</f>
        <v>45722</v>
      </c>
      <c r="B485" s="18" t="str">
        <f aca="false">Cours_Bruts!B485</f>
        <v>BNP</v>
      </c>
      <c r="C485" s="19" t="n">
        <f aca="false">Cours_Bruts!C485</f>
        <v>59.56</v>
      </c>
      <c r="D485" s="20" t="n">
        <f aca="false">IF(B485=B484,(C485-C484)/C484,"")</f>
        <v>-0.00301305657850686</v>
      </c>
      <c r="E485" s="20" t="n">
        <f aca="false">IF(B485=B484,(1+E484)*(1+IF(D485="",0,D485))-1,0)</f>
        <v>-0.0073333333333333</v>
      </c>
      <c r="F485" s="21" t="n">
        <f aca="false">IF(B485=B484,MAX(F484,C485),C485)</f>
        <v>60.24</v>
      </c>
      <c r="G485" s="20" t="n">
        <f aca="false">(C485-F485)/F485</f>
        <v>-0.0112881806108898</v>
      </c>
      <c r="H485" s="21" t="str">
        <f aca="true">IF(COUNTIFS($B$2:B485,B485)&gt;=20,AVERAGE(OFFSET(C485,-19,0,20,1)),"")</f>
        <v/>
      </c>
      <c r="I485" s="21" t="str">
        <f aca="true">IF(COUNTIFS($B$2:B485,B485)&gt;=50,AVERAGE(OFFSET(C485,-49,0,50,1)),"")</f>
        <v/>
      </c>
    </row>
    <row r="486" customFormat="false" ht="15" hidden="false" customHeight="false" outlineLevel="0" collapsed="false">
      <c r="A486" s="17" t="n">
        <f aca="false">Cours_Bruts!A486</f>
        <v>45723</v>
      </c>
      <c r="B486" s="18" t="str">
        <f aca="false">Cours_Bruts!B486</f>
        <v>BNP</v>
      </c>
      <c r="C486" s="19" t="n">
        <f aca="false">Cours_Bruts!C486</f>
        <v>58.83</v>
      </c>
      <c r="D486" s="20" t="n">
        <f aca="false">IF(B486=B485,(C486-C485)/C485,"")</f>
        <v>-0.0122565480188046</v>
      </c>
      <c r="E486" s="20" t="n">
        <f aca="false">IF(B486=B485,(1+E485)*(1+IF(D486="",0,D486))-1,0)</f>
        <v>-0.0195</v>
      </c>
      <c r="F486" s="21" t="n">
        <f aca="false">IF(B486=B485,MAX(F485,C486),C486)</f>
        <v>60.24</v>
      </c>
      <c r="G486" s="20" t="n">
        <f aca="false">(C486-F486)/F486</f>
        <v>-0.0234063745019921</v>
      </c>
      <c r="H486" s="21" t="str">
        <f aca="true">IF(COUNTIFS($B$2:B486,B486)&gt;=20,AVERAGE(OFFSET(C486,-19,0,20,1)),"")</f>
        <v/>
      </c>
      <c r="I486" s="21" t="str">
        <f aca="true">IF(COUNTIFS($B$2:B486,B486)&gt;=50,AVERAGE(OFFSET(C486,-49,0,50,1)),"")</f>
        <v/>
      </c>
    </row>
    <row r="487" customFormat="false" ht="15" hidden="false" customHeight="false" outlineLevel="0" collapsed="false">
      <c r="A487" s="17" t="n">
        <f aca="false">Cours_Bruts!A487</f>
        <v>45726</v>
      </c>
      <c r="B487" s="18" t="str">
        <f aca="false">Cours_Bruts!B487</f>
        <v>BNP</v>
      </c>
      <c r="C487" s="19" t="n">
        <f aca="false">Cours_Bruts!C487</f>
        <v>59.67</v>
      </c>
      <c r="D487" s="20" t="n">
        <f aca="false">IF(B487=B486,(C487-C486)/C486,"")</f>
        <v>0.0142784293727691</v>
      </c>
      <c r="E487" s="20" t="n">
        <f aca="false">IF(B487=B486,(1+E486)*(1+IF(D487="",0,D487))-1,0)</f>
        <v>-0.00549999999999984</v>
      </c>
      <c r="F487" s="21" t="n">
        <f aca="false">IF(B487=B486,MAX(F486,C487),C487)</f>
        <v>60.24</v>
      </c>
      <c r="G487" s="20" t="n">
        <f aca="false">(C487-F487)/F487</f>
        <v>-0.00946215139442231</v>
      </c>
      <c r="H487" s="21" t="str">
        <f aca="true">IF(COUNTIFS($B$2:B487,B487)&gt;=20,AVERAGE(OFFSET(C487,-19,0,20,1)),"")</f>
        <v/>
      </c>
      <c r="I487" s="21" t="str">
        <f aca="true">IF(COUNTIFS($B$2:B487,B487)&gt;=50,AVERAGE(OFFSET(C487,-49,0,50,1)),"")</f>
        <v/>
      </c>
    </row>
    <row r="488" customFormat="false" ht="15" hidden="false" customHeight="false" outlineLevel="0" collapsed="false">
      <c r="A488" s="17" t="n">
        <f aca="false">Cours_Bruts!A488</f>
        <v>45727</v>
      </c>
      <c r="B488" s="18" t="str">
        <f aca="false">Cours_Bruts!B488</f>
        <v>BNP</v>
      </c>
      <c r="C488" s="19" t="n">
        <f aca="false">Cours_Bruts!C488</f>
        <v>59.74</v>
      </c>
      <c r="D488" s="20" t="n">
        <f aca="false">IF(B488=B487,(C488-C487)/C487,"")</f>
        <v>0.00117311882017765</v>
      </c>
      <c r="E488" s="20" t="n">
        <f aca="false">IF(B488=B487,(1+E487)*(1+IF(D488="",0,D488))-1,0)</f>
        <v>-0.0043333333333333</v>
      </c>
      <c r="F488" s="21" t="n">
        <f aca="false">IF(B488=B487,MAX(F487,C488),C488)</f>
        <v>60.24</v>
      </c>
      <c r="G488" s="20" t="n">
        <f aca="false">(C488-F488)/F488</f>
        <v>-0.00830013280212483</v>
      </c>
      <c r="H488" s="21" t="str">
        <f aca="true">IF(COUNTIFS($B$2:B488,B488)&gt;=20,AVERAGE(OFFSET(C488,-19,0,20,1)),"")</f>
        <v/>
      </c>
      <c r="I488" s="21" t="str">
        <f aca="true">IF(COUNTIFS($B$2:B488,B488)&gt;=50,AVERAGE(OFFSET(C488,-49,0,50,1)),"")</f>
        <v/>
      </c>
    </row>
    <row r="489" customFormat="false" ht="15" hidden="false" customHeight="false" outlineLevel="0" collapsed="false">
      <c r="A489" s="17" t="n">
        <f aca="false">Cours_Bruts!A489</f>
        <v>45728</v>
      </c>
      <c r="B489" s="18" t="str">
        <f aca="false">Cours_Bruts!B489</f>
        <v>BNP</v>
      </c>
      <c r="C489" s="19" t="n">
        <f aca="false">Cours_Bruts!C489</f>
        <v>60.62</v>
      </c>
      <c r="D489" s="20" t="n">
        <f aca="false">IF(B489=B488,(C489-C488)/C488,"")</f>
        <v>0.0147304988282557</v>
      </c>
      <c r="E489" s="20" t="n">
        <f aca="false">IF(B489=B488,(1+E488)*(1+IF(D489="",0,D489))-1,0)</f>
        <v>0.0103333333333333</v>
      </c>
      <c r="F489" s="21" t="n">
        <f aca="false">IF(B489=B488,MAX(F488,C489),C489)</f>
        <v>60.62</v>
      </c>
      <c r="G489" s="20" t="n">
        <f aca="false">(C489-F489)/F489</f>
        <v>0</v>
      </c>
      <c r="H489" s="21" t="str">
        <f aca="true">IF(COUNTIFS($B$2:B489,B489)&gt;=20,AVERAGE(OFFSET(C489,-19,0,20,1)),"")</f>
        <v/>
      </c>
      <c r="I489" s="21" t="str">
        <f aca="true">IF(COUNTIFS($B$2:B489,B489)&gt;=50,AVERAGE(OFFSET(C489,-49,0,50,1)),"")</f>
        <v/>
      </c>
    </row>
    <row r="490" customFormat="false" ht="15" hidden="false" customHeight="false" outlineLevel="0" collapsed="false">
      <c r="A490" s="17" t="n">
        <f aca="false">Cours_Bruts!A490</f>
        <v>45729</v>
      </c>
      <c r="B490" s="18" t="str">
        <f aca="false">Cours_Bruts!B490</f>
        <v>BNP</v>
      </c>
      <c r="C490" s="19" t="n">
        <f aca="false">Cours_Bruts!C490</f>
        <v>61.76</v>
      </c>
      <c r="D490" s="20" t="n">
        <f aca="false">IF(B490=B489,(C490-C489)/C489,"")</f>
        <v>0.0188056746948202</v>
      </c>
      <c r="E490" s="20" t="n">
        <f aca="false">IF(B490=B489,(1+E489)*(1+IF(D490="",0,D490))-1,0)</f>
        <v>0.0293333333333332</v>
      </c>
      <c r="F490" s="21" t="n">
        <f aca="false">IF(B490=B489,MAX(F489,C490),C490)</f>
        <v>61.76</v>
      </c>
      <c r="G490" s="20" t="n">
        <f aca="false">(C490-F490)/F490</f>
        <v>0</v>
      </c>
      <c r="H490" s="21" t="str">
        <f aca="true">IF(COUNTIFS($B$2:B490,B490)&gt;=20,AVERAGE(OFFSET(C490,-19,0,20,1)),"")</f>
        <v/>
      </c>
      <c r="I490" s="21" t="str">
        <f aca="true">IF(COUNTIFS($B$2:B490,B490)&gt;=50,AVERAGE(OFFSET(C490,-49,0,50,1)),"")</f>
        <v/>
      </c>
    </row>
    <row r="491" customFormat="false" ht="15" hidden="false" customHeight="false" outlineLevel="0" collapsed="false">
      <c r="A491" s="17" t="n">
        <f aca="false">Cours_Bruts!A491</f>
        <v>45730</v>
      </c>
      <c r="B491" s="18" t="str">
        <f aca="false">Cours_Bruts!B491</f>
        <v>BNP</v>
      </c>
      <c r="C491" s="19" t="n">
        <f aca="false">Cours_Bruts!C491</f>
        <v>59.75</v>
      </c>
      <c r="D491" s="20" t="n">
        <f aca="false">IF(B491=B490,(C491-C490)/C490,"")</f>
        <v>-0.0325453367875647</v>
      </c>
      <c r="E491" s="20" t="n">
        <f aca="false">IF(B491=B490,(1+E490)*(1+IF(D491="",0,D491))-1,0)</f>
        <v>-0.00416666666666676</v>
      </c>
      <c r="F491" s="21" t="n">
        <f aca="false">IF(B491=B490,MAX(F490,C491),C491)</f>
        <v>61.76</v>
      </c>
      <c r="G491" s="20" t="n">
        <f aca="false">(C491-F491)/F491</f>
        <v>-0.0325453367875647</v>
      </c>
      <c r="H491" s="21" t="str">
        <f aca="true">IF(COUNTIFS($B$2:B491,B491)&gt;=20,AVERAGE(OFFSET(C491,-19,0,20,1)),"")</f>
        <v/>
      </c>
      <c r="I491" s="21" t="str">
        <f aca="true">IF(COUNTIFS($B$2:B491,B491)&gt;=50,AVERAGE(OFFSET(C491,-49,0,50,1)),"")</f>
        <v/>
      </c>
    </row>
    <row r="492" customFormat="false" ht="15" hidden="false" customHeight="false" outlineLevel="0" collapsed="false">
      <c r="A492" s="17" t="n">
        <f aca="false">Cours_Bruts!A492</f>
        <v>45733</v>
      </c>
      <c r="B492" s="18" t="str">
        <f aca="false">Cours_Bruts!B492</f>
        <v>BNP</v>
      </c>
      <c r="C492" s="19" t="n">
        <f aca="false">Cours_Bruts!C492</f>
        <v>59.07</v>
      </c>
      <c r="D492" s="20" t="n">
        <f aca="false">IF(B492=B491,(C492-C491)/C491,"")</f>
        <v>-0.0113807531380753</v>
      </c>
      <c r="E492" s="20" t="n">
        <f aca="false">IF(B492=B491,(1+E491)*(1+IF(D492="",0,D492))-1,0)</f>
        <v>-0.0155000000000001</v>
      </c>
      <c r="F492" s="21" t="n">
        <f aca="false">IF(B492=B491,MAX(F491,C492),C492)</f>
        <v>61.76</v>
      </c>
      <c r="G492" s="20" t="n">
        <f aca="false">(C492-F492)/F492</f>
        <v>-0.0435556994818653</v>
      </c>
      <c r="H492" s="21" t="str">
        <f aca="true">IF(COUNTIFS($B$2:B492,B492)&gt;=20,AVERAGE(OFFSET(C492,-19,0,20,1)),"")</f>
        <v/>
      </c>
      <c r="I492" s="21" t="str">
        <f aca="true">IF(COUNTIFS($B$2:B492,B492)&gt;=50,AVERAGE(OFFSET(C492,-49,0,50,1)),"")</f>
        <v/>
      </c>
    </row>
    <row r="493" customFormat="false" ht="15" hidden="false" customHeight="false" outlineLevel="0" collapsed="false">
      <c r="A493" s="17" t="n">
        <f aca="false">Cours_Bruts!A493</f>
        <v>45734</v>
      </c>
      <c r="B493" s="18" t="str">
        <f aca="false">Cours_Bruts!B493</f>
        <v>BNP</v>
      </c>
      <c r="C493" s="19" t="n">
        <f aca="false">Cours_Bruts!C493</f>
        <v>58.54</v>
      </c>
      <c r="D493" s="20" t="n">
        <f aca="false">IF(B493=B492,(C493-C492)/C492,"")</f>
        <v>-0.00897240562045033</v>
      </c>
      <c r="E493" s="20" t="n">
        <f aca="false">IF(B493=B492,(1+E492)*(1+IF(D493="",0,D493))-1,0)</f>
        <v>-0.0243333333333334</v>
      </c>
      <c r="F493" s="21" t="n">
        <f aca="false">IF(B493=B492,MAX(F492,C493),C493)</f>
        <v>61.76</v>
      </c>
      <c r="G493" s="20" t="n">
        <f aca="false">(C493-F493)/F493</f>
        <v>-0.0521373056994819</v>
      </c>
      <c r="H493" s="21" t="str">
        <f aca="true">IF(COUNTIFS($B$2:B493,B493)&gt;=20,AVERAGE(OFFSET(C493,-19,0,20,1)),"")</f>
        <v/>
      </c>
      <c r="I493" s="21" t="str">
        <f aca="true">IF(COUNTIFS($B$2:B493,B493)&gt;=50,AVERAGE(OFFSET(C493,-49,0,50,1)),"")</f>
        <v/>
      </c>
    </row>
    <row r="494" customFormat="false" ht="15" hidden="false" customHeight="false" outlineLevel="0" collapsed="false">
      <c r="A494" s="17" t="n">
        <f aca="false">Cours_Bruts!A494</f>
        <v>45735</v>
      </c>
      <c r="B494" s="18" t="str">
        <f aca="false">Cours_Bruts!B494</f>
        <v>BNP</v>
      </c>
      <c r="C494" s="19" t="n">
        <f aca="false">Cours_Bruts!C494</f>
        <v>60.83</v>
      </c>
      <c r="D494" s="20" t="n">
        <f aca="false">IF(B494=B493,(C494-C493)/C493,"")</f>
        <v>0.0391185514178339</v>
      </c>
      <c r="E494" s="20" t="n">
        <f aca="false">IF(B494=B493,(1+E493)*(1+IF(D494="",0,D494))-1,0)</f>
        <v>0.0138333333333334</v>
      </c>
      <c r="F494" s="21" t="n">
        <f aca="false">IF(B494=B493,MAX(F493,C494),C494)</f>
        <v>61.76</v>
      </c>
      <c r="G494" s="20" t="n">
        <f aca="false">(C494-F494)/F494</f>
        <v>-0.0150582901554404</v>
      </c>
      <c r="H494" s="21" t="str">
        <f aca="true">IF(COUNTIFS($B$2:B494,B494)&gt;=20,AVERAGE(OFFSET(C494,-19,0,20,1)),"")</f>
        <v/>
      </c>
      <c r="I494" s="21" t="str">
        <f aca="true">IF(COUNTIFS($B$2:B494,B494)&gt;=50,AVERAGE(OFFSET(C494,-49,0,50,1)),"")</f>
        <v/>
      </c>
    </row>
    <row r="495" customFormat="false" ht="15" hidden="false" customHeight="false" outlineLevel="0" collapsed="false">
      <c r="A495" s="17" t="n">
        <f aca="false">Cours_Bruts!A495</f>
        <v>45736</v>
      </c>
      <c r="B495" s="18" t="str">
        <f aca="false">Cours_Bruts!B495</f>
        <v>BNP</v>
      </c>
      <c r="C495" s="19" t="n">
        <f aca="false">Cours_Bruts!C495</f>
        <v>60.99</v>
      </c>
      <c r="D495" s="20" t="n">
        <f aca="false">IF(B495=B494,(C495-C494)/C494,"")</f>
        <v>0.00263028111129383</v>
      </c>
      <c r="E495" s="20" t="n">
        <f aca="false">IF(B495=B494,(1+E494)*(1+IF(D495="",0,D495))-1,0)</f>
        <v>0.0165000000000002</v>
      </c>
      <c r="F495" s="21" t="n">
        <f aca="false">IF(B495=B494,MAX(F494,C495),C495)</f>
        <v>61.76</v>
      </c>
      <c r="G495" s="20" t="n">
        <f aca="false">(C495-F495)/F495</f>
        <v>-0.0124676165803108</v>
      </c>
      <c r="H495" s="21" t="str">
        <f aca="true">IF(COUNTIFS($B$2:B495,B495)&gt;=20,AVERAGE(OFFSET(C495,-19,0,20,1)),"")</f>
        <v/>
      </c>
      <c r="I495" s="21" t="str">
        <f aca="true">IF(COUNTIFS($B$2:B495,B495)&gt;=50,AVERAGE(OFFSET(C495,-49,0,50,1)),"")</f>
        <v/>
      </c>
    </row>
    <row r="496" customFormat="false" ht="15" hidden="false" customHeight="false" outlineLevel="0" collapsed="false">
      <c r="A496" s="17" t="n">
        <f aca="false">Cours_Bruts!A496</f>
        <v>45737</v>
      </c>
      <c r="B496" s="18" t="str">
        <f aca="false">Cours_Bruts!B496</f>
        <v>BNP</v>
      </c>
      <c r="C496" s="19" t="n">
        <f aca="false">Cours_Bruts!C496</f>
        <v>61.75</v>
      </c>
      <c r="D496" s="20" t="n">
        <f aca="false">IF(B496=B495,(C496-C495)/C495,"")</f>
        <v>0.0124610591900311</v>
      </c>
      <c r="E496" s="20" t="n">
        <f aca="false">IF(B496=B495,(1+E495)*(1+IF(D496="",0,D496))-1,0)</f>
        <v>0.0291666666666668</v>
      </c>
      <c r="F496" s="21" t="n">
        <f aca="false">IF(B496=B495,MAX(F495,C496),C496)</f>
        <v>61.76</v>
      </c>
      <c r="G496" s="20" t="n">
        <f aca="false">(C496-F496)/F496</f>
        <v>-0.000161917098445564</v>
      </c>
      <c r="H496" s="21" t="str">
        <f aca="true">IF(COUNTIFS($B$2:B496,B496)&gt;=20,AVERAGE(OFFSET(C496,-19,0,20,1)),"")</f>
        <v/>
      </c>
      <c r="I496" s="21" t="str">
        <f aca="true">IF(COUNTIFS($B$2:B496,B496)&gt;=50,AVERAGE(OFFSET(C496,-49,0,50,1)),"")</f>
        <v/>
      </c>
    </row>
    <row r="497" customFormat="false" ht="15" hidden="false" customHeight="false" outlineLevel="0" collapsed="false">
      <c r="A497" s="17" t="n">
        <f aca="false">Cours_Bruts!A497</f>
        <v>45740</v>
      </c>
      <c r="B497" s="18" t="str">
        <f aca="false">Cours_Bruts!B497</f>
        <v>BNP</v>
      </c>
      <c r="C497" s="19" t="n">
        <f aca="false">Cours_Bruts!C497</f>
        <v>60.02</v>
      </c>
      <c r="D497" s="20" t="n">
        <f aca="false">IF(B497=B496,(C497-C496)/C496,"")</f>
        <v>-0.0280161943319838</v>
      </c>
      <c r="E497" s="20" t="n">
        <f aca="false">IF(B497=B496,(1+E496)*(1+IF(D497="",0,D497))-1,0)</f>
        <v>0.000333333333333519</v>
      </c>
      <c r="F497" s="21" t="n">
        <f aca="false">IF(B497=B496,MAX(F496,C497),C497)</f>
        <v>61.76</v>
      </c>
      <c r="G497" s="20" t="n">
        <f aca="false">(C497-F497)/F497</f>
        <v>-0.0281735751295336</v>
      </c>
      <c r="H497" s="21" t="str">
        <f aca="true">IF(COUNTIFS($B$2:B497,B497)&gt;=20,AVERAGE(OFFSET(C497,-19,0,20,1)),"")</f>
        <v/>
      </c>
      <c r="I497" s="21" t="str">
        <f aca="true">IF(COUNTIFS($B$2:B497,B497)&gt;=50,AVERAGE(OFFSET(C497,-49,0,50,1)),"")</f>
        <v/>
      </c>
    </row>
    <row r="498" customFormat="false" ht="15" hidden="false" customHeight="false" outlineLevel="0" collapsed="false">
      <c r="A498" s="17" t="n">
        <f aca="false">Cours_Bruts!A498</f>
        <v>45741</v>
      </c>
      <c r="B498" s="18" t="str">
        <f aca="false">Cours_Bruts!B498</f>
        <v>BNP</v>
      </c>
      <c r="C498" s="19" t="n">
        <f aca="false">Cours_Bruts!C498</f>
        <v>60.17</v>
      </c>
      <c r="D498" s="20" t="n">
        <f aca="false">IF(B498=B497,(C498-C497)/C497,"")</f>
        <v>0.00249916694435186</v>
      </c>
      <c r="E498" s="20" t="n">
        <f aca="false">IF(B498=B497,(1+E497)*(1+IF(D498="",0,D498))-1,0)</f>
        <v>0.00283333333333347</v>
      </c>
      <c r="F498" s="21" t="n">
        <f aca="false">IF(B498=B497,MAX(F497,C498),C498)</f>
        <v>61.76</v>
      </c>
      <c r="G498" s="20" t="n">
        <f aca="false">(C498-F498)/F498</f>
        <v>-0.0257448186528497</v>
      </c>
      <c r="H498" s="21" t="str">
        <f aca="true">IF(COUNTIFS($B$2:B498,B498)&gt;=20,AVERAGE(OFFSET(C498,-19,0,20,1)),"")</f>
        <v/>
      </c>
      <c r="I498" s="21" t="str">
        <f aca="true">IF(COUNTIFS($B$2:B498,B498)&gt;=50,AVERAGE(OFFSET(C498,-49,0,50,1)),"")</f>
        <v/>
      </c>
    </row>
    <row r="499" customFormat="false" ht="15" hidden="false" customHeight="false" outlineLevel="0" collapsed="false">
      <c r="A499" s="17" t="n">
        <f aca="false">Cours_Bruts!A499</f>
        <v>45742</v>
      </c>
      <c r="B499" s="18" t="str">
        <f aca="false">Cours_Bruts!B499</f>
        <v>BNP</v>
      </c>
      <c r="C499" s="19" t="n">
        <f aca="false">Cours_Bruts!C499</f>
        <v>61.08</v>
      </c>
      <c r="D499" s="20" t="n">
        <f aca="false">IF(B499=B498,(C499-C498)/C498,"")</f>
        <v>0.0151238158550772</v>
      </c>
      <c r="E499" s="20" t="n">
        <f aca="false">IF(B499=B498,(1+E498)*(1+IF(D499="",0,D499))-1,0)</f>
        <v>0.018</v>
      </c>
      <c r="F499" s="21" t="n">
        <f aca="false">IF(B499=B498,MAX(F498,C499),C499)</f>
        <v>61.76</v>
      </c>
      <c r="G499" s="20" t="n">
        <f aca="false">(C499-F499)/F499</f>
        <v>-0.0110103626943005</v>
      </c>
      <c r="H499" s="21" t="str">
        <f aca="true">IF(COUNTIFS($B$2:B499,B499)&gt;=20,AVERAGE(OFFSET(C499,-19,0,20,1)),"")</f>
        <v/>
      </c>
      <c r="I499" s="21" t="str">
        <f aca="true">IF(COUNTIFS($B$2:B499,B499)&gt;=50,AVERAGE(OFFSET(C499,-49,0,50,1)),"")</f>
        <v/>
      </c>
    </row>
    <row r="500" customFormat="false" ht="15" hidden="false" customHeight="false" outlineLevel="0" collapsed="false">
      <c r="A500" s="17" t="n">
        <f aca="false">Cours_Bruts!A500</f>
        <v>45743</v>
      </c>
      <c r="B500" s="18" t="str">
        <f aca="false">Cours_Bruts!B500</f>
        <v>BNP</v>
      </c>
      <c r="C500" s="19" t="n">
        <f aca="false">Cours_Bruts!C500</f>
        <v>61.89</v>
      </c>
      <c r="D500" s="20" t="n">
        <f aca="false">IF(B500=B499,(C500-C499)/C499,"")</f>
        <v>0.0132612966601179</v>
      </c>
      <c r="E500" s="20" t="n">
        <f aca="false">IF(B500=B499,(1+E499)*(1+IF(D500="",0,D500))-1,0)</f>
        <v>0.0315000000000001</v>
      </c>
      <c r="F500" s="21" t="n">
        <f aca="false">IF(B500=B499,MAX(F499,C500),C500)</f>
        <v>61.89</v>
      </c>
      <c r="G500" s="20" t="n">
        <f aca="false">(C500-F500)/F500</f>
        <v>0</v>
      </c>
      <c r="H500" s="21" t="str">
        <f aca="true">IF(COUNTIFS($B$2:B500,B500)&gt;=20,AVERAGE(OFFSET(C500,-19,0,20,1)),"")</f>
        <v/>
      </c>
      <c r="I500" s="21" t="str">
        <f aca="true">IF(COUNTIFS($B$2:B500,B500)&gt;=50,AVERAGE(OFFSET(C500,-49,0,50,1)),"")</f>
        <v/>
      </c>
    </row>
    <row r="501" customFormat="false" ht="15" hidden="false" customHeight="false" outlineLevel="0" collapsed="false">
      <c r="A501" s="17" t="n">
        <f aca="false">Cours_Bruts!A501</f>
        <v>45744</v>
      </c>
      <c r="B501" s="18" t="str">
        <f aca="false">Cours_Bruts!B501</f>
        <v>BNP</v>
      </c>
      <c r="C501" s="19" t="n">
        <f aca="false">Cours_Bruts!C501</f>
        <v>62.49</v>
      </c>
      <c r="D501" s="20" t="n">
        <f aca="false">IF(B501=B500,(C501-C500)/C500,"")</f>
        <v>0.00969461948618519</v>
      </c>
      <c r="E501" s="20" t="n">
        <f aca="false">IF(B501=B500,(1+E500)*(1+IF(D501="",0,D501))-1,0)</f>
        <v>0.0415000000000001</v>
      </c>
      <c r="F501" s="21" t="n">
        <f aca="false">IF(B501=B500,MAX(F500,C501),C501)</f>
        <v>62.49</v>
      </c>
      <c r="G501" s="20" t="n">
        <f aca="false">(C501-F501)/F501</f>
        <v>0</v>
      </c>
      <c r="H501" s="21" t="n">
        <f aca="true">IF(COUNTIFS($B$2:B501,B501)&gt;=20,AVERAGE(OFFSET(C501,-19,0,20,1)),"")</f>
        <v>60.337</v>
      </c>
      <c r="I501" s="21" t="str">
        <f aca="true">IF(COUNTIFS($B$2:B501,B501)&gt;=50,AVERAGE(OFFSET(C501,-49,0,50,1)),"")</f>
        <v/>
      </c>
    </row>
    <row r="502" customFormat="false" ht="15" hidden="false" customHeight="false" outlineLevel="0" collapsed="false">
      <c r="A502" s="17" t="n">
        <f aca="false">Cours_Bruts!A502</f>
        <v>45747</v>
      </c>
      <c r="B502" s="18" t="str">
        <f aca="false">Cours_Bruts!B502</f>
        <v>BNP</v>
      </c>
      <c r="C502" s="19" t="n">
        <f aca="false">Cours_Bruts!C502</f>
        <v>62.53</v>
      </c>
      <c r="D502" s="20" t="n">
        <f aca="false">IF(B502=B501,(C502-C501)/C501,"")</f>
        <v>0.000640102416386608</v>
      </c>
      <c r="E502" s="20" t="n">
        <f aca="false">IF(B502=B501,(1+E501)*(1+IF(D502="",0,D502))-1,0)</f>
        <v>0.0421666666666669</v>
      </c>
      <c r="F502" s="21" t="n">
        <f aca="false">IF(B502=B501,MAX(F501,C502),C502)</f>
        <v>62.53</v>
      </c>
      <c r="G502" s="20" t="n">
        <f aca="false">(C502-F502)/F502</f>
        <v>0</v>
      </c>
      <c r="H502" s="21" t="n">
        <f aca="true">IF(COUNTIFS($B$2:B502,B502)&gt;=20,AVERAGE(OFFSET(C502,-19,0,20,1)),"")</f>
        <v>60.4635</v>
      </c>
      <c r="I502" s="21" t="str">
        <f aca="true">IF(COUNTIFS($B$2:B502,B502)&gt;=50,AVERAGE(OFFSET(C502,-49,0,50,1)),"")</f>
        <v/>
      </c>
    </row>
    <row r="503" customFormat="false" ht="15" hidden="false" customHeight="false" outlineLevel="0" collapsed="false">
      <c r="A503" s="17" t="n">
        <f aca="false">Cours_Bruts!A503</f>
        <v>45748</v>
      </c>
      <c r="B503" s="18" t="str">
        <f aca="false">Cours_Bruts!B503</f>
        <v>BNP</v>
      </c>
      <c r="C503" s="19" t="n">
        <f aca="false">Cours_Bruts!C503</f>
        <v>62.6</v>
      </c>
      <c r="D503" s="20" t="n">
        <f aca="false">IF(B503=B502,(C503-C502)/C502,"")</f>
        <v>0.0011194626579242</v>
      </c>
      <c r="E503" s="20" t="n">
        <f aca="false">IF(B503=B502,(1+E502)*(1+IF(D503="",0,D503))-1,0)</f>
        <v>0.0433333333333337</v>
      </c>
      <c r="F503" s="21" t="n">
        <f aca="false">IF(B503=B502,MAX(F502,C503),C503)</f>
        <v>62.6</v>
      </c>
      <c r="G503" s="20" t="n">
        <f aca="false">(C503-F503)/F503</f>
        <v>0</v>
      </c>
      <c r="H503" s="21" t="n">
        <f aca="true">IF(COUNTIFS($B$2:B503,B503)&gt;=20,AVERAGE(OFFSET(C503,-19,0,20,1)),"")</f>
        <v>60.5815</v>
      </c>
      <c r="I503" s="21" t="str">
        <f aca="true">IF(COUNTIFS($B$2:B503,B503)&gt;=50,AVERAGE(OFFSET(C503,-49,0,50,1)),"")</f>
        <v/>
      </c>
    </row>
    <row r="504" customFormat="false" ht="15" hidden="false" customHeight="false" outlineLevel="0" collapsed="false">
      <c r="A504" s="17" t="n">
        <f aca="false">Cours_Bruts!A504</f>
        <v>45749</v>
      </c>
      <c r="B504" s="18" t="str">
        <f aca="false">Cours_Bruts!B504</f>
        <v>BNP</v>
      </c>
      <c r="C504" s="19" t="n">
        <f aca="false">Cours_Bruts!C504</f>
        <v>61.02</v>
      </c>
      <c r="D504" s="20" t="n">
        <f aca="false">IF(B504=B503,(C504-C503)/C503,"")</f>
        <v>-0.0252396166134185</v>
      </c>
      <c r="E504" s="20" t="n">
        <f aca="false">IF(B504=B503,(1+E503)*(1+IF(D504="",0,D504))-1,0)</f>
        <v>0.0170000000000003</v>
      </c>
      <c r="F504" s="21" t="n">
        <f aca="false">IF(B504=B503,MAX(F503,C504),C504)</f>
        <v>62.6</v>
      </c>
      <c r="G504" s="20" t="n">
        <f aca="false">(C504-F504)/F504</f>
        <v>-0.0252396166134185</v>
      </c>
      <c r="H504" s="21" t="n">
        <f aca="true">IF(COUNTIFS($B$2:B504,B504)&gt;=20,AVERAGE(OFFSET(C504,-19,0,20,1)),"")</f>
        <v>60.6455</v>
      </c>
      <c r="I504" s="21" t="str">
        <f aca="true">IF(COUNTIFS($B$2:B504,B504)&gt;=50,AVERAGE(OFFSET(C504,-49,0,50,1)),"")</f>
        <v/>
      </c>
    </row>
    <row r="505" customFormat="false" ht="15" hidden="false" customHeight="false" outlineLevel="0" collapsed="false">
      <c r="A505" s="17" t="n">
        <f aca="false">Cours_Bruts!A505</f>
        <v>45750</v>
      </c>
      <c r="B505" s="18" t="str">
        <f aca="false">Cours_Bruts!B505</f>
        <v>BNP</v>
      </c>
      <c r="C505" s="19" t="n">
        <f aca="false">Cours_Bruts!C505</f>
        <v>60.21</v>
      </c>
      <c r="D505" s="20" t="n">
        <f aca="false">IF(B505=B504,(C505-C504)/C504,"")</f>
        <v>-0.0132743362831859</v>
      </c>
      <c r="E505" s="20" t="n">
        <f aca="false">IF(B505=B504,(1+E504)*(1+IF(D505="",0,D505))-1,0)</f>
        <v>0.00350000000000028</v>
      </c>
      <c r="F505" s="21" t="n">
        <f aca="false">IF(B505=B504,MAX(F504,C505),C505)</f>
        <v>62.6</v>
      </c>
      <c r="G505" s="20" t="n">
        <f aca="false">(C505-F505)/F505</f>
        <v>-0.0381789137380192</v>
      </c>
      <c r="H505" s="21" t="n">
        <f aca="true">IF(COUNTIFS($B$2:B505,B505)&gt;=20,AVERAGE(OFFSET(C505,-19,0,20,1)),"")</f>
        <v>60.678</v>
      </c>
      <c r="I505" s="21" t="str">
        <f aca="true">IF(COUNTIFS($B$2:B505,B505)&gt;=50,AVERAGE(OFFSET(C505,-49,0,50,1)),"")</f>
        <v/>
      </c>
    </row>
    <row r="506" customFormat="false" ht="15" hidden="false" customHeight="false" outlineLevel="0" collapsed="false">
      <c r="A506" s="17" t="n">
        <f aca="false">Cours_Bruts!A506</f>
        <v>45751</v>
      </c>
      <c r="B506" s="18" t="str">
        <f aca="false">Cours_Bruts!B506</f>
        <v>BNP</v>
      </c>
      <c r="C506" s="19" t="n">
        <f aca="false">Cours_Bruts!C506</f>
        <v>60.44</v>
      </c>
      <c r="D506" s="20" t="n">
        <f aca="false">IF(B506=B505,(C506-C505)/C505,"")</f>
        <v>0.00381996346121902</v>
      </c>
      <c r="E506" s="20" t="n">
        <f aca="false">IF(B506=B505,(1+E505)*(1+IF(D506="",0,D506))-1,0)</f>
        <v>0.00733333333333364</v>
      </c>
      <c r="F506" s="21" t="n">
        <f aca="false">IF(B506=B505,MAX(F505,C506),C506)</f>
        <v>62.6</v>
      </c>
      <c r="G506" s="20" t="n">
        <f aca="false">(C506-F506)/F506</f>
        <v>-0.0345047923322684</v>
      </c>
      <c r="H506" s="21" t="n">
        <f aca="true">IF(COUNTIFS($B$2:B506,B506)&gt;=20,AVERAGE(OFFSET(C506,-19,0,20,1)),"")</f>
        <v>60.7585</v>
      </c>
      <c r="I506" s="21" t="str">
        <f aca="true">IF(COUNTIFS($B$2:B506,B506)&gt;=50,AVERAGE(OFFSET(C506,-49,0,50,1)),"")</f>
        <v/>
      </c>
    </row>
    <row r="507" customFormat="false" ht="15" hidden="false" customHeight="false" outlineLevel="0" collapsed="false">
      <c r="A507" s="17" t="n">
        <f aca="false">Cours_Bruts!A507</f>
        <v>45754</v>
      </c>
      <c r="B507" s="18" t="str">
        <f aca="false">Cours_Bruts!B507</f>
        <v>BNP</v>
      </c>
      <c r="C507" s="19" t="n">
        <f aca="false">Cours_Bruts!C507</f>
        <v>59.8</v>
      </c>
      <c r="D507" s="20" t="n">
        <f aca="false">IF(B507=B506,(C507-C506)/C506,"")</f>
        <v>-0.0105890138980808</v>
      </c>
      <c r="E507" s="20" t="n">
        <f aca="false">IF(B507=B506,(1+E506)*(1+IF(D507="",0,D507))-1,0)</f>
        <v>-0.00333333333333308</v>
      </c>
      <c r="F507" s="21" t="n">
        <f aca="false">IF(B507=B506,MAX(F506,C507),C507)</f>
        <v>62.6</v>
      </c>
      <c r="G507" s="20" t="n">
        <f aca="false">(C507-F507)/F507</f>
        <v>-0.0447284345047924</v>
      </c>
      <c r="H507" s="21" t="n">
        <f aca="true">IF(COUNTIFS($B$2:B507,B507)&gt;=20,AVERAGE(OFFSET(C507,-19,0,20,1)),"")</f>
        <v>60.765</v>
      </c>
      <c r="I507" s="21" t="str">
        <f aca="true">IF(COUNTIFS($B$2:B507,B507)&gt;=50,AVERAGE(OFFSET(C507,-49,0,50,1)),"")</f>
        <v/>
      </c>
    </row>
    <row r="508" customFormat="false" ht="15" hidden="false" customHeight="false" outlineLevel="0" collapsed="false">
      <c r="A508" s="17" t="n">
        <f aca="false">Cours_Bruts!A508</f>
        <v>45755</v>
      </c>
      <c r="B508" s="18" t="str">
        <f aca="false">Cours_Bruts!B508</f>
        <v>BNP</v>
      </c>
      <c r="C508" s="19" t="n">
        <f aca="false">Cours_Bruts!C508</f>
        <v>60.45</v>
      </c>
      <c r="D508" s="20" t="n">
        <f aca="false">IF(B508=B507,(C508-C507)/C507,"")</f>
        <v>0.0108695652173914</v>
      </c>
      <c r="E508" s="20" t="n">
        <f aca="false">IF(B508=B507,(1+E507)*(1+IF(D508="",0,D508))-1,0)</f>
        <v>0.00750000000000028</v>
      </c>
      <c r="F508" s="21" t="n">
        <f aca="false">IF(B508=B507,MAX(F507,C508),C508)</f>
        <v>62.6</v>
      </c>
      <c r="G508" s="20" t="n">
        <f aca="false">(C508-F508)/F508</f>
        <v>-0.0343450479233227</v>
      </c>
      <c r="H508" s="21" t="n">
        <f aca="true">IF(COUNTIFS($B$2:B508,B508)&gt;=20,AVERAGE(OFFSET(C508,-19,0,20,1)),"")</f>
        <v>60.8005</v>
      </c>
      <c r="I508" s="21" t="str">
        <f aca="true">IF(COUNTIFS($B$2:B508,B508)&gt;=50,AVERAGE(OFFSET(C508,-49,0,50,1)),"")</f>
        <v/>
      </c>
    </row>
    <row r="509" customFormat="false" ht="15" hidden="false" customHeight="false" outlineLevel="0" collapsed="false">
      <c r="A509" s="17" t="n">
        <f aca="false">Cours_Bruts!A509</f>
        <v>45756</v>
      </c>
      <c r="B509" s="18" t="str">
        <f aca="false">Cours_Bruts!B509</f>
        <v>BNP</v>
      </c>
      <c r="C509" s="19" t="n">
        <f aca="false">Cours_Bruts!C509</f>
        <v>60.89</v>
      </c>
      <c r="D509" s="20" t="n">
        <f aca="false">IF(B509=B508,(C509-C508)/C508,"")</f>
        <v>0.00727874276261369</v>
      </c>
      <c r="E509" s="20" t="n">
        <f aca="false">IF(B509=B508,(1+E508)*(1+IF(D509="",0,D509))-1,0)</f>
        <v>0.0148333333333337</v>
      </c>
      <c r="F509" s="21" t="n">
        <f aca="false">IF(B509=B508,MAX(F508,C509),C509)</f>
        <v>62.6</v>
      </c>
      <c r="G509" s="20" t="n">
        <f aca="false">(C509-F509)/F509</f>
        <v>-0.0273162939297125</v>
      </c>
      <c r="H509" s="21" t="n">
        <f aca="true">IF(COUNTIFS($B$2:B509,B509)&gt;=20,AVERAGE(OFFSET(C509,-19,0,20,1)),"")</f>
        <v>60.814</v>
      </c>
      <c r="I509" s="21" t="str">
        <f aca="true">IF(COUNTIFS($B$2:B509,B509)&gt;=50,AVERAGE(OFFSET(C509,-49,0,50,1)),"")</f>
        <v/>
      </c>
    </row>
    <row r="510" customFormat="false" ht="15" hidden="false" customHeight="false" outlineLevel="0" collapsed="false">
      <c r="A510" s="17" t="n">
        <f aca="false">Cours_Bruts!A510</f>
        <v>45757</v>
      </c>
      <c r="B510" s="18" t="str">
        <f aca="false">Cours_Bruts!B510</f>
        <v>BNP</v>
      </c>
      <c r="C510" s="19" t="n">
        <f aca="false">Cours_Bruts!C510</f>
        <v>62.17</v>
      </c>
      <c r="D510" s="20" t="n">
        <f aca="false">IF(B510=B509,(C510-C509)/C509,"")</f>
        <v>0.0210215142059452</v>
      </c>
      <c r="E510" s="20" t="n">
        <f aca="false">IF(B510=B509,(1+E509)*(1+IF(D510="",0,D510))-1,0)</f>
        <v>0.0361666666666669</v>
      </c>
      <c r="F510" s="21" t="n">
        <f aca="false">IF(B510=B509,MAX(F509,C510),C510)</f>
        <v>62.6</v>
      </c>
      <c r="G510" s="20" t="n">
        <f aca="false">(C510-F510)/F510</f>
        <v>-0.00686900958466453</v>
      </c>
      <c r="H510" s="21" t="n">
        <f aca="true">IF(COUNTIFS($B$2:B510,B510)&gt;=20,AVERAGE(OFFSET(C510,-19,0,20,1)),"")</f>
        <v>60.8345</v>
      </c>
      <c r="I510" s="21" t="str">
        <f aca="true">IF(COUNTIFS($B$2:B510,B510)&gt;=50,AVERAGE(OFFSET(C510,-49,0,50,1)),"")</f>
        <v/>
      </c>
    </row>
    <row r="511" customFormat="false" ht="15" hidden="false" customHeight="false" outlineLevel="0" collapsed="false">
      <c r="A511" s="17" t="n">
        <f aca="false">Cours_Bruts!A511</f>
        <v>45758</v>
      </c>
      <c r="B511" s="18" t="str">
        <f aca="false">Cours_Bruts!B511</f>
        <v>BNP</v>
      </c>
      <c r="C511" s="19" t="n">
        <f aca="false">Cours_Bruts!C511</f>
        <v>63.09</v>
      </c>
      <c r="D511" s="20" t="n">
        <f aca="false">IF(B511=B510,(C511-C510)/C510,"")</f>
        <v>0.0147981341483031</v>
      </c>
      <c r="E511" s="20" t="n">
        <f aca="false">IF(B511=B510,(1+E510)*(1+IF(D511="",0,D511))-1,0)</f>
        <v>0.0515000000000001</v>
      </c>
      <c r="F511" s="21" t="n">
        <f aca="false">IF(B511=B510,MAX(F510,C511),C511)</f>
        <v>63.09</v>
      </c>
      <c r="G511" s="20" t="n">
        <f aca="false">(C511-F511)/F511</f>
        <v>0</v>
      </c>
      <c r="H511" s="21" t="n">
        <f aca="true">IF(COUNTIFS($B$2:B511,B511)&gt;=20,AVERAGE(OFFSET(C511,-19,0,20,1)),"")</f>
        <v>61.0015</v>
      </c>
      <c r="I511" s="21" t="str">
        <f aca="true">IF(COUNTIFS($B$2:B511,B511)&gt;=50,AVERAGE(OFFSET(C511,-49,0,50,1)),"")</f>
        <v/>
      </c>
    </row>
    <row r="512" customFormat="false" ht="15" hidden="false" customHeight="false" outlineLevel="0" collapsed="false">
      <c r="A512" s="17" t="n">
        <f aca="false">Cours_Bruts!A512</f>
        <v>45761</v>
      </c>
      <c r="B512" s="18" t="str">
        <f aca="false">Cours_Bruts!B512</f>
        <v>BNP</v>
      </c>
      <c r="C512" s="19" t="n">
        <f aca="false">Cours_Bruts!C512</f>
        <v>63.33</v>
      </c>
      <c r="D512" s="20" t="n">
        <f aca="false">IF(B512=B511,(C512-C511)/C511,"")</f>
        <v>0.00380408939610073</v>
      </c>
      <c r="E512" s="20" t="n">
        <f aca="false">IF(B512=B511,(1+E511)*(1+IF(D512="",0,D512))-1,0)</f>
        <v>0.0554999999999999</v>
      </c>
      <c r="F512" s="21" t="n">
        <f aca="false">IF(B512=B511,MAX(F511,C512),C512)</f>
        <v>63.33</v>
      </c>
      <c r="G512" s="20" t="n">
        <f aca="false">(C512-F512)/F512</f>
        <v>0</v>
      </c>
      <c r="H512" s="21" t="n">
        <f aca="true">IF(COUNTIFS($B$2:B512,B512)&gt;=20,AVERAGE(OFFSET(C512,-19,0,20,1)),"")</f>
        <v>61.2145</v>
      </c>
      <c r="I512" s="21" t="str">
        <f aca="true">IF(COUNTIFS($B$2:B512,B512)&gt;=50,AVERAGE(OFFSET(C512,-49,0,50,1)),"")</f>
        <v/>
      </c>
    </row>
    <row r="513" customFormat="false" ht="15" hidden="false" customHeight="false" outlineLevel="0" collapsed="false">
      <c r="A513" s="17" t="n">
        <f aca="false">Cours_Bruts!A513</f>
        <v>45762</v>
      </c>
      <c r="B513" s="18" t="str">
        <f aca="false">Cours_Bruts!B513</f>
        <v>BNP</v>
      </c>
      <c r="C513" s="19" t="n">
        <f aca="false">Cours_Bruts!C513</f>
        <v>64.06</v>
      </c>
      <c r="D513" s="20" t="n">
        <f aca="false">IF(B513=B512,(C513-C512)/C512,"")</f>
        <v>0.0115269224696037</v>
      </c>
      <c r="E513" s="20" t="n">
        <f aca="false">IF(B513=B512,(1+E512)*(1+IF(D513="",0,D513))-1,0)</f>
        <v>0.0676666666666665</v>
      </c>
      <c r="F513" s="21" t="n">
        <f aca="false">IF(B513=B512,MAX(F512,C513),C513)</f>
        <v>64.06</v>
      </c>
      <c r="G513" s="20" t="n">
        <f aca="false">(C513-F513)/F513</f>
        <v>0</v>
      </c>
      <c r="H513" s="21" t="n">
        <f aca="true">IF(COUNTIFS($B$2:B513,B513)&gt;=20,AVERAGE(OFFSET(C513,-19,0,20,1)),"")</f>
        <v>61.4905</v>
      </c>
      <c r="I513" s="21" t="str">
        <f aca="true">IF(COUNTIFS($B$2:B513,B513)&gt;=50,AVERAGE(OFFSET(C513,-49,0,50,1)),"")</f>
        <v/>
      </c>
    </row>
    <row r="514" customFormat="false" ht="15" hidden="false" customHeight="false" outlineLevel="0" collapsed="false">
      <c r="A514" s="17" t="n">
        <f aca="false">Cours_Bruts!A514</f>
        <v>45763</v>
      </c>
      <c r="B514" s="18" t="str">
        <f aca="false">Cours_Bruts!B514</f>
        <v>BNP</v>
      </c>
      <c r="C514" s="19" t="n">
        <f aca="false">Cours_Bruts!C514</f>
        <v>65.06</v>
      </c>
      <c r="D514" s="20" t="n">
        <f aca="false">IF(B514=B513,(C514-C513)/C513,"")</f>
        <v>0.0156103652825476</v>
      </c>
      <c r="E514" s="20" t="n">
        <f aca="false">IF(B514=B513,(1+E513)*(1+IF(D514="",0,D514))-1,0)</f>
        <v>0.0843333333333334</v>
      </c>
      <c r="F514" s="21" t="n">
        <f aca="false">IF(B514=B513,MAX(F513,C514),C514)</f>
        <v>65.06</v>
      </c>
      <c r="G514" s="20" t="n">
        <f aca="false">(C514-F514)/F514</f>
        <v>0</v>
      </c>
      <c r="H514" s="21" t="n">
        <f aca="true">IF(COUNTIFS($B$2:B514,B514)&gt;=20,AVERAGE(OFFSET(C514,-19,0,20,1)),"")</f>
        <v>61.702</v>
      </c>
      <c r="I514" s="21" t="str">
        <f aca="true">IF(COUNTIFS($B$2:B514,B514)&gt;=50,AVERAGE(OFFSET(C514,-49,0,50,1)),"")</f>
        <v/>
      </c>
    </row>
    <row r="515" customFormat="false" ht="15" hidden="false" customHeight="false" outlineLevel="0" collapsed="false">
      <c r="A515" s="17" t="n">
        <f aca="false">Cours_Bruts!A515</f>
        <v>45764</v>
      </c>
      <c r="B515" s="18" t="str">
        <f aca="false">Cours_Bruts!B515</f>
        <v>BNP</v>
      </c>
      <c r="C515" s="19" t="n">
        <f aca="false">Cours_Bruts!C515</f>
        <v>64.58</v>
      </c>
      <c r="D515" s="20" t="n">
        <f aca="false">IF(B515=B514,(C515-C514)/C514,"")</f>
        <v>-0.00737780510298192</v>
      </c>
      <c r="E515" s="20" t="n">
        <f aca="false">IF(B515=B514,(1+E514)*(1+IF(D515="",0,D515))-1,0)</f>
        <v>0.0763333333333334</v>
      </c>
      <c r="F515" s="21" t="n">
        <f aca="false">IF(B515=B514,MAX(F514,C515),C515)</f>
        <v>65.06</v>
      </c>
      <c r="G515" s="20" t="n">
        <f aca="false">(C515-F515)/F515</f>
        <v>-0.00737780510298192</v>
      </c>
      <c r="H515" s="21" t="n">
        <f aca="true">IF(COUNTIFS($B$2:B515,B515)&gt;=20,AVERAGE(OFFSET(C515,-19,0,20,1)),"")</f>
        <v>61.8815</v>
      </c>
      <c r="I515" s="21" t="str">
        <f aca="true">IF(COUNTIFS($B$2:B515,B515)&gt;=50,AVERAGE(OFFSET(C515,-49,0,50,1)),"")</f>
        <v/>
      </c>
    </row>
    <row r="516" customFormat="false" ht="15" hidden="false" customHeight="false" outlineLevel="0" collapsed="false">
      <c r="A516" s="17" t="n">
        <f aca="false">Cours_Bruts!A516</f>
        <v>45765</v>
      </c>
      <c r="B516" s="18" t="str">
        <f aca="false">Cours_Bruts!B516</f>
        <v>BNP</v>
      </c>
      <c r="C516" s="19" t="n">
        <f aca="false">Cours_Bruts!C516</f>
        <v>64.28</v>
      </c>
      <c r="D516" s="20" t="n">
        <f aca="false">IF(B516=B515,(C516-C515)/C515,"")</f>
        <v>-0.00464540105295753</v>
      </c>
      <c r="E516" s="20" t="n">
        <f aca="false">IF(B516=B515,(1+E515)*(1+IF(D516="",0,D516))-1,0)</f>
        <v>0.0713333333333335</v>
      </c>
      <c r="F516" s="21" t="n">
        <f aca="false">IF(B516=B515,MAX(F515,C516),C516)</f>
        <v>65.06</v>
      </c>
      <c r="G516" s="20" t="n">
        <f aca="false">(C516-F516)/F516</f>
        <v>-0.0119889332923455</v>
      </c>
      <c r="H516" s="21" t="n">
        <f aca="true">IF(COUNTIFS($B$2:B516,B516)&gt;=20,AVERAGE(OFFSET(C516,-19,0,20,1)),"")</f>
        <v>62.008</v>
      </c>
      <c r="I516" s="21" t="str">
        <f aca="true">IF(COUNTIFS($B$2:B516,B516)&gt;=50,AVERAGE(OFFSET(C516,-49,0,50,1)),"")</f>
        <v/>
      </c>
    </row>
    <row r="517" customFormat="false" ht="15" hidden="false" customHeight="false" outlineLevel="0" collapsed="false">
      <c r="A517" s="17" t="n">
        <f aca="false">Cours_Bruts!A517</f>
        <v>45768</v>
      </c>
      <c r="B517" s="18" t="str">
        <f aca="false">Cours_Bruts!B517</f>
        <v>BNP</v>
      </c>
      <c r="C517" s="19" t="n">
        <f aca="false">Cours_Bruts!C517</f>
        <v>64.2</v>
      </c>
      <c r="D517" s="20" t="n">
        <f aca="false">IF(B517=B516,(C517-C516)/C516,"")</f>
        <v>-0.00124455507156189</v>
      </c>
      <c r="E517" s="20" t="n">
        <f aca="false">IF(B517=B516,(1+E516)*(1+IF(D517="",0,D517))-1,0)</f>
        <v>0.0700000000000003</v>
      </c>
      <c r="F517" s="21" t="n">
        <f aca="false">IF(B517=B516,MAX(F516,C517),C517)</f>
        <v>65.06</v>
      </c>
      <c r="G517" s="20" t="n">
        <f aca="false">(C517-F517)/F517</f>
        <v>-0.0132185674761758</v>
      </c>
      <c r="H517" s="21" t="n">
        <f aca="true">IF(COUNTIFS($B$2:B517,B517)&gt;=20,AVERAGE(OFFSET(C517,-19,0,20,1)),"")</f>
        <v>62.217</v>
      </c>
      <c r="I517" s="21" t="str">
        <f aca="true">IF(COUNTIFS($B$2:B517,B517)&gt;=50,AVERAGE(OFFSET(C517,-49,0,50,1)),"")</f>
        <v/>
      </c>
    </row>
    <row r="518" customFormat="false" ht="15" hidden="false" customHeight="false" outlineLevel="0" collapsed="false">
      <c r="A518" s="17" t="n">
        <f aca="false">Cours_Bruts!A518</f>
        <v>45769</v>
      </c>
      <c r="B518" s="18" t="str">
        <f aca="false">Cours_Bruts!B518</f>
        <v>BNP</v>
      </c>
      <c r="C518" s="19" t="n">
        <f aca="false">Cours_Bruts!C518</f>
        <v>63.76</v>
      </c>
      <c r="D518" s="20" t="n">
        <f aca="false">IF(B518=B517,(C518-C517)/C517,"")</f>
        <v>-0.00685358255451721</v>
      </c>
      <c r="E518" s="20" t="n">
        <f aca="false">IF(B518=B517,(1+E517)*(1+IF(D518="",0,D518))-1,0)</f>
        <v>0.0626666666666669</v>
      </c>
      <c r="F518" s="21" t="n">
        <f aca="false">IF(B518=B517,MAX(F517,C518),C518)</f>
        <v>65.06</v>
      </c>
      <c r="G518" s="20" t="n">
        <f aca="false">(C518-F518)/F518</f>
        <v>-0.0199815554872426</v>
      </c>
      <c r="H518" s="21" t="n">
        <f aca="true">IF(COUNTIFS($B$2:B518,B518)&gt;=20,AVERAGE(OFFSET(C518,-19,0,20,1)),"")</f>
        <v>62.3965</v>
      </c>
      <c r="I518" s="21" t="str">
        <f aca="true">IF(COUNTIFS($B$2:B518,B518)&gt;=50,AVERAGE(OFFSET(C518,-49,0,50,1)),"")</f>
        <v/>
      </c>
    </row>
    <row r="519" customFormat="false" ht="15" hidden="false" customHeight="false" outlineLevel="0" collapsed="false">
      <c r="A519" s="17" t="n">
        <f aca="false">Cours_Bruts!A519</f>
        <v>45770</v>
      </c>
      <c r="B519" s="18" t="str">
        <f aca="false">Cours_Bruts!B519</f>
        <v>BNP</v>
      </c>
      <c r="C519" s="19" t="n">
        <f aca="false">Cours_Bruts!C519</f>
        <v>64.76</v>
      </c>
      <c r="D519" s="20" t="n">
        <f aca="false">IF(B519=B518,(C519-C518)/C518,"")</f>
        <v>0.0156838143036388</v>
      </c>
      <c r="E519" s="20" t="n">
        <f aca="false">IF(B519=B518,(1+E518)*(1+IF(D519="",0,D519))-1,0)</f>
        <v>0.0793333333333337</v>
      </c>
      <c r="F519" s="21" t="n">
        <f aca="false">IF(B519=B518,MAX(F518,C519),C519)</f>
        <v>65.06</v>
      </c>
      <c r="G519" s="20" t="n">
        <f aca="false">(C519-F519)/F519</f>
        <v>-0.00461112818936362</v>
      </c>
      <c r="H519" s="21" t="n">
        <f aca="true">IF(COUNTIFS($B$2:B519,B519)&gt;=20,AVERAGE(OFFSET(C519,-19,0,20,1)),"")</f>
        <v>62.5805</v>
      </c>
      <c r="I519" s="21" t="str">
        <f aca="true">IF(COUNTIFS($B$2:B519,B519)&gt;=50,AVERAGE(OFFSET(C519,-49,0,50,1)),"")</f>
        <v/>
      </c>
    </row>
    <row r="520" customFormat="false" ht="15" hidden="false" customHeight="false" outlineLevel="0" collapsed="false">
      <c r="A520" s="17" t="n">
        <f aca="false">Cours_Bruts!A520</f>
        <v>45771</v>
      </c>
      <c r="B520" s="18" t="str">
        <f aca="false">Cours_Bruts!B520</f>
        <v>BNP</v>
      </c>
      <c r="C520" s="19" t="n">
        <f aca="false">Cours_Bruts!C520</f>
        <v>64.17</v>
      </c>
      <c r="D520" s="20" t="n">
        <f aca="false">IF(B520=B519,(C520-C519)/C519,"")</f>
        <v>-0.00911056207535521</v>
      </c>
      <c r="E520" s="20" t="n">
        <f aca="false">IF(B520=B519,(1+E519)*(1+IF(D520="",0,D520))-1,0)</f>
        <v>0.0695000000000003</v>
      </c>
      <c r="F520" s="21" t="n">
        <f aca="false">IF(B520=B519,MAX(F519,C520),C520)</f>
        <v>65.06</v>
      </c>
      <c r="G520" s="20" t="n">
        <f aca="false">(C520-F520)/F520</f>
        <v>-0.0136796802951122</v>
      </c>
      <c r="H520" s="21" t="n">
        <f aca="true">IF(COUNTIFS($B$2:B520,B520)&gt;=20,AVERAGE(OFFSET(C520,-19,0,20,1)),"")</f>
        <v>62.6945</v>
      </c>
      <c r="I520" s="21" t="str">
        <f aca="true">IF(COUNTIFS($B$2:B520,B520)&gt;=50,AVERAGE(OFFSET(C520,-49,0,50,1)),"")</f>
        <v/>
      </c>
    </row>
    <row r="521" customFormat="false" ht="15" hidden="false" customHeight="false" outlineLevel="0" collapsed="false">
      <c r="A521" s="17" t="n">
        <f aca="false">Cours_Bruts!A521</f>
        <v>45772</v>
      </c>
      <c r="B521" s="18" t="str">
        <f aca="false">Cours_Bruts!B521</f>
        <v>BNP</v>
      </c>
      <c r="C521" s="19" t="n">
        <f aca="false">Cours_Bruts!C521</f>
        <v>65.4</v>
      </c>
      <c r="D521" s="20" t="n">
        <f aca="false">IF(B521=B520,(C521-C520)/C520,"")</f>
        <v>0.0191678354371202</v>
      </c>
      <c r="E521" s="20" t="n">
        <f aca="false">IF(B521=B520,(1+E520)*(1+IF(D521="",0,D521))-1,0)</f>
        <v>0.0900000000000005</v>
      </c>
      <c r="F521" s="21" t="n">
        <f aca="false">IF(B521=B520,MAX(F520,C521),C521)</f>
        <v>65.4</v>
      </c>
      <c r="G521" s="20" t="n">
        <f aca="false">(C521-F521)/F521</f>
        <v>0</v>
      </c>
      <c r="H521" s="21" t="n">
        <f aca="true">IF(COUNTIFS($B$2:B521,B521)&gt;=20,AVERAGE(OFFSET(C521,-19,0,20,1)),"")</f>
        <v>62.84</v>
      </c>
      <c r="I521" s="21" t="str">
        <f aca="true">IF(COUNTIFS($B$2:B521,B521)&gt;=50,AVERAGE(OFFSET(C521,-49,0,50,1)),"")</f>
        <v/>
      </c>
    </row>
    <row r="522" customFormat="false" ht="15" hidden="false" customHeight="false" outlineLevel="0" collapsed="false">
      <c r="A522" s="17" t="n">
        <f aca="false">Cours_Bruts!A522</f>
        <v>45775</v>
      </c>
      <c r="B522" s="18" t="str">
        <f aca="false">Cours_Bruts!B522</f>
        <v>BNP</v>
      </c>
      <c r="C522" s="19" t="n">
        <f aca="false">Cours_Bruts!C522</f>
        <v>65.06</v>
      </c>
      <c r="D522" s="20" t="n">
        <f aca="false">IF(B522=B521,(C522-C521)/C521,"")</f>
        <v>-0.00519877675840984</v>
      </c>
      <c r="E522" s="20" t="n">
        <f aca="false">IF(B522=B521,(1+E521)*(1+IF(D522="",0,D522))-1,0)</f>
        <v>0.0843333333333338</v>
      </c>
      <c r="F522" s="21" t="n">
        <f aca="false">IF(B522=B521,MAX(F521,C522),C522)</f>
        <v>65.4</v>
      </c>
      <c r="G522" s="20" t="n">
        <f aca="false">(C522-F522)/F522</f>
        <v>-0.00519877675840984</v>
      </c>
      <c r="H522" s="21" t="n">
        <f aca="true">IF(COUNTIFS($B$2:B522,B522)&gt;=20,AVERAGE(OFFSET(C522,-19,0,20,1)),"")</f>
        <v>62.9665</v>
      </c>
      <c r="I522" s="21" t="str">
        <f aca="true">IF(COUNTIFS($B$2:B522,B522)&gt;=50,AVERAGE(OFFSET(C522,-49,0,50,1)),"")</f>
        <v/>
      </c>
    </row>
    <row r="523" customFormat="false" ht="15" hidden="false" customHeight="false" outlineLevel="0" collapsed="false">
      <c r="A523" s="17" t="n">
        <f aca="false">Cours_Bruts!A523</f>
        <v>45776</v>
      </c>
      <c r="B523" s="18" t="str">
        <f aca="false">Cours_Bruts!B523</f>
        <v>BNP</v>
      </c>
      <c r="C523" s="19" t="n">
        <f aca="false">Cours_Bruts!C523</f>
        <v>65.55</v>
      </c>
      <c r="D523" s="20" t="n">
        <f aca="false">IF(B523=B522,(C523-C522)/C522,"")</f>
        <v>0.00753150937596057</v>
      </c>
      <c r="E523" s="20" t="n">
        <f aca="false">IF(B523=B522,(1+E522)*(1+IF(D523="",0,D523))-1,0)</f>
        <v>0.0925000000000003</v>
      </c>
      <c r="F523" s="21" t="n">
        <f aca="false">IF(B523=B522,MAX(F522,C523),C523)</f>
        <v>65.55</v>
      </c>
      <c r="G523" s="20" t="n">
        <f aca="false">(C523-F523)/F523</f>
        <v>0</v>
      </c>
      <c r="H523" s="21" t="n">
        <f aca="true">IF(COUNTIFS($B$2:B523,B523)&gt;=20,AVERAGE(OFFSET(C523,-19,0,20,1)),"")</f>
        <v>63.114</v>
      </c>
      <c r="I523" s="21" t="str">
        <f aca="true">IF(COUNTIFS($B$2:B523,B523)&gt;=50,AVERAGE(OFFSET(C523,-49,0,50,1)),"")</f>
        <v/>
      </c>
    </row>
    <row r="524" customFormat="false" ht="15" hidden="false" customHeight="false" outlineLevel="0" collapsed="false">
      <c r="A524" s="17" t="n">
        <f aca="false">Cours_Bruts!A524</f>
        <v>45777</v>
      </c>
      <c r="B524" s="18" t="str">
        <f aca="false">Cours_Bruts!B524</f>
        <v>BNP</v>
      </c>
      <c r="C524" s="19" t="n">
        <f aca="false">Cours_Bruts!C524</f>
        <v>65.73</v>
      </c>
      <c r="D524" s="20" t="n">
        <f aca="false">IF(B524=B523,(C524-C523)/C523,"")</f>
        <v>0.00274599542334107</v>
      </c>
      <c r="E524" s="20" t="n">
        <f aca="false">IF(B524=B523,(1+E523)*(1+IF(D524="",0,D524))-1,0)</f>
        <v>0.0955000000000004</v>
      </c>
      <c r="F524" s="21" t="n">
        <f aca="false">IF(B524=B523,MAX(F523,C524),C524)</f>
        <v>65.73</v>
      </c>
      <c r="G524" s="20" t="n">
        <f aca="false">(C524-F524)/F524</f>
        <v>0</v>
      </c>
      <c r="H524" s="21" t="n">
        <f aca="true">IF(COUNTIFS($B$2:B524,B524)&gt;=20,AVERAGE(OFFSET(C524,-19,0,20,1)),"")</f>
        <v>63.3495</v>
      </c>
      <c r="I524" s="21" t="str">
        <f aca="true">IF(COUNTIFS($B$2:B524,B524)&gt;=50,AVERAGE(OFFSET(C524,-49,0,50,1)),"")</f>
        <v/>
      </c>
    </row>
    <row r="525" customFormat="false" ht="15" hidden="false" customHeight="false" outlineLevel="0" collapsed="false">
      <c r="A525" s="17" t="n">
        <f aca="false">Cours_Bruts!A525</f>
        <v>45778</v>
      </c>
      <c r="B525" s="18" t="str">
        <f aca="false">Cours_Bruts!B525</f>
        <v>BNP</v>
      </c>
      <c r="C525" s="19" t="n">
        <f aca="false">Cours_Bruts!C525</f>
        <v>64.78</v>
      </c>
      <c r="D525" s="20" t="n">
        <f aca="false">IF(B525=B524,(C525-C524)/C524,"")</f>
        <v>-0.0144530655712765</v>
      </c>
      <c r="E525" s="20" t="n">
        <f aca="false">IF(B525=B524,(1+E524)*(1+IF(D525="",0,D525))-1,0)</f>
        <v>0.079666666666667</v>
      </c>
      <c r="F525" s="21" t="n">
        <f aca="false">IF(B525=B524,MAX(F524,C525),C525)</f>
        <v>65.73</v>
      </c>
      <c r="G525" s="20" t="n">
        <f aca="false">(C525-F525)/F525</f>
        <v>-0.0144530655712765</v>
      </c>
      <c r="H525" s="21" t="n">
        <f aca="true">IF(COUNTIFS($B$2:B525,B525)&gt;=20,AVERAGE(OFFSET(C525,-19,0,20,1)),"")</f>
        <v>63.578</v>
      </c>
      <c r="I525" s="21" t="str">
        <f aca="true">IF(COUNTIFS($B$2:B525,B525)&gt;=50,AVERAGE(OFFSET(C525,-49,0,50,1)),"")</f>
        <v/>
      </c>
    </row>
    <row r="526" customFormat="false" ht="15" hidden="false" customHeight="false" outlineLevel="0" collapsed="false">
      <c r="A526" s="17" t="n">
        <f aca="false">Cours_Bruts!A526</f>
        <v>45779</v>
      </c>
      <c r="B526" s="18" t="str">
        <f aca="false">Cours_Bruts!B526</f>
        <v>BNP</v>
      </c>
      <c r="C526" s="19" t="n">
        <f aca="false">Cours_Bruts!C526</f>
        <v>64.78</v>
      </c>
      <c r="D526" s="20" t="n">
        <f aca="false">IF(B526=B525,(C526-C525)/C525,"")</f>
        <v>0</v>
      </c>
      <c r="E526" s="20" t="n">
        <f aca="false">IF(B526=B525,(1+E525)*(1+IF(D526="",0,D526))-1,0)</f>
        <v>0.079666666666667</v>
      </c>
      <c r="F526" s="21" t="n">
        <f aca="false">IF(B526=B525,MAX(F525,C526),C526)</f>
        <v>65.73</v>
      </c>
      <c r="G526" s="20" t="n">
        <f aca="false">(C526-F526)/F526</f>
        <v>-0.0144530655712765</v>
      </c>
      <c r="H526" s="21" t="n">
        <f aca="true">IF(COUNTIFS($B$2:B526,B526)&gt;=20,AVERAGE(OFFSET(C526,-19,0,20,1)),"")</f>
        <v>63.795</v>
      </c>
      <c r="I526" s="21" t="str">
        <f aca="true">IF(COUNTIFS($B$2:B526,B526)&gt;=50,AVERAGE(OFFSET(C526,-49,0,50,1)),"")</f>
        <v/>
      </c>
    </row>
    <row r="527" customFormat="false" ht="15" hidden="false" customHeight="false" outlineLevel="0" collapsed="false">
      <c r="A527" s="17" t="n">
        <f aca="false">Cours_Bruts!A527</f>
        <v>45782</v>
      </c>
      <c r="B527" s="18" t="str">
        <f aca="false">Cours_Bruts!B527</f>
        <v>BNP</v>
      </c>
      <c r="C527" s="19" t="n">
        <f aca="false">Cours_Bruts!C527</f>
        <v>65.13</v>
      </c>
      <c r="D527" s="20" t="n">
        <f aca="false">IF(B527=B526,(C527-C526)/C526,"")</f>
        <v>0.00540290213028704</v>
      </c>
      <c r="E527" s="20" t="n">
        <f aca="false">IF(B527=B526,(1+E526)*(1+IF(D527="",0,D527))-1,0)</f>
        <v>0.0855000000000004</v>
      </c>
      <c r="F527" s="21" t="n">
        <f aca="false">IF(B527=B526,MAX(F526,C527),C527)</f>
        <v>65.73</v>
      </c>
      <c r="G527" s="20" t="n">
        <f aca="false">(C527-F527)/F527</f>
        <v>-0.00912825193975367</v>
      </c>
      <c r="H527" s="21" t="n">
        <f aca="true">IF(COUNTIFS($B$2:B527,B527)&gt;=20,AVERAGE(OFFSET(C527,-19,0,20,1)),"")</f>
        <v>64.0615</v>
      </c>
      <c r="I527" s="21" t="str">
        <f aca="true">IF(COUNTIFS($B$2:B527,B527)&gt;=50,AVERAGE(OFFSET(C527,-49,0,50,1)),"")</f>
        <v/>
      </c>
    </row>
    <row r="528" customFormat="false" ht="15" hidden="false" customHeight="false" outlineLevel="0" collapsed="false">
      <c r="A528" s="17" t="n">
        <f aca="false">Cours_Bruts!A528</f>
        <v>45783</v>
      </c>
      <c r="B528" s="18" t="str">
        <f aca="false">Cours_Bruts!B528</f>
        <v>BNP</v>
      </c>
      <c r="C528" s="19" t="n">
        <f aca="false">Cours_Bruts!C528</f>
        <v>65.09</v>
      </c>
      <c r="D528" s="20" t="n">
        <f aca="false">IF(B528=B527,(C528-C527)/C527,"")</f>
        <v>-0.000614156302778935</v>
      </c>
      <c r="E528" s="20" t="n">
        <f aca="false">IF(B528=B527,(1+E527)*(1+IF(D528="",0,D528))-1,0)</f>
        <v>0.0848333333333338</v>
      </c>
      <c r="F528" s="21" t="n">
        <f aca="false">IF(B528=B527,MAX(F527,C528),C528)</f>
        <v>65.73</v>
      </c>
      <c r="G528" s="20" t="n">
        <f aca="false">(C528-F528)/F528</f>
        <v>-0.00973680206907045</v>
      </c>
      <c r="H528" s="21" t="n">
        <f aca="true">IF(COUNTIFS($B$2:B528,B528)&gt;=20,AVERAGE(OFFSET(C528,-19,0,20,1)),"")</f>
        <v>64.2935</v>
      </c>
      <c r="I528" s="21" t="str">
        <f aca="true">IF(COUNTIFS($B$2:B528,B528)&gt;=50,AVERAGE(OFFSET(C528,-49,0,50,1)),"")</f>
        <v/>
      </c>
    </row>
    <row r="529" customFormat="false" ht="15" hidden="false" customHeight="false" outlineLevel="0" collapsed="false">
      <c r="A529" s="17" t="n">
        <f aca="false">Cours_Bruts!A529</f>
        <v>45784</v>
      </c>
      <c r="B529" s="18" t="str">
        <f aca="false">Cours_Bruts!B529</f>
        <v>BNP</v>
      </c>
      <c r="C529" s="19" t="n">
        <f aca="false">Cours_Bruts!C529</f>
        <v>63.79</v>
      </c>
      <c r="D529" s="20" t="n">
        <f aca="false">IF(B529=B528,(C529-C528)/C528,"")</f>
        <v>-0.0199723459824859</v>
      </c>
      <c r="E529" s="20" t="n">
        <f aca="false">IF(B529=B528,(1+E528)*(1+IF(D529="",0,D529))-1,0)</f>
        <v>0.063166666666667</v>
      </c>
      <c r="F529" s="21" t="n">
        <f aca="false">IF(B529=B528,MAX(F528,C529),C529)</f>
        <v>65.73</v>
      </c>
      <c r="G529" s="20" t="n">
        <f aca="false">(C529-F529)/F529</f>
        <v>-0.0295146812718698</v>
      </c>
      <c r="H529" s="21" t="n">
        <f aca="true">IF(COUNTIFS($B$2:B529,B529)&gt;=20,AVERAGE(OFFSET(C529,-19,0,20,1)),"")</f>
        <v>64.4385</v>
      </c>
      <c r="I529" s="21" t="str">
        <f aca="true">IF(COUNTIFS($B$2:B529,B529)&gt;=50,AVERAGE(OFFSET(C529,-49,0,50,1)),"")</f>
        <v/>
      </c>
    </row>
    <row r="530" customFormat="false" ht="15" hidden="false" customHeight="false" outlineLevel="0" collapsed="false">
      <c r="A530" s="17" t="n">
        <f aca="false">Cours_Bruts!A530</f>
        <v>45785</v>
      </c>
      <c r="B530" s="18" t="str">
        <f aca="false">Cours_Bruts!B530</f>
        <v>BNP</v>
      </c>
      <c r="C530" s="19" t="n">
        <f aca="false">Cours_Bruts!C530</f>
        <v>65.45</v>
      </c>
      <c r="D530" s="20" t="n">
        <f aca="false">IF(B530=B529,(C530-C529)/C529,"")</f>
        <v>0.0260228875999374</v>
      </c>
      <c r="E530" s="20" t="n">
        <f aca="false">IF(B530=B529,(1+E529)*(1+IF(D530="",0,D530))-1,0)</f>
        <v>0.0908333333333338</v>
      </c>
      <c r="F530" s="21" t="n">
        <f aca="false">IF(B530=B529,MAX(F529,C530),C530)</f>
        <v>65.73</v>
      </c>
      <c r="G530" s="20" t="n">
        <f aca="false">(C530-F530)/F530</f>
        <v>-0.00425985090521833</v>
      </c>
      <c r="H530" s="21" t="n">
        <f aca="true">IF(COUNTIFS($B$2:B530,B530)&gt;=20,AVERAGE(OFFSET(C530,-19,0,20,1)),"")</f>
        <v>64.6025</v>
      </c>
      <c r="I530" s="21" t="str">
        <f aca="true">IF(COUNTIFS($B$2:B530,B530)&gt;=50,AVERAGE(OFFSET(C530,-49,0,50,1)),"")</f>
        <v/>
      </c>
    </row>
    <row r="531" customFormat="false" ht="15" hidden="false" customHeight="false" outlineLevel="0" collapsed="false">
      <c r="A531" s="17" t="n">
        <f aca="false">Cours_Bruts!A531</f>
        <v>45786</v>
      </c>
      <c r="B531" s="18" t="str">
        <f aca="false">Cours_Bruts!B531</f>
        <v>BNP</v>
      </c>
      <c r="C531" s="19" t="n">
        <f aca="false">Cours_Bruts!C531</f>
        <v>65.56</v>
      </c>
      <c r="D531" s="20" t="n">
        <f aca="false">IF(B531=B530,(C531-C530)/C530,"")</f>
        <v>0.00168067226890755</v>
      </c>
      <c r="E531" s="20" t="n">
        <f aca="false">IF(B531=B530,(1+E530)*(1+IF(D531="",0,D531))-1,0)</f>
        <v>0.0926666666666671</v>
      </c>
      <c r="F531" s="21" t="n">
        <f aca="false">IF(B531=B530,MAX(F530,C531),C531)</f>
        <v>65.73</v>
      </c>
      <c r="G531" s="20" t="n">
        <f aca="false">(C531-F531)/F531</f>
        <v>-0.00258633804959686</v>
      </c>
      <c r="H531" s="21" t="n">
        <f aca="true">IF(COUNTIFS($B$2:B531,B531)&gt;=20,AVERAGE(OFFSET(C531,-19,0,20,1)),"")</f>
        <v>64.726</v>
      </c>
      <c r="I531" s="21" t="n">
        <f aca="true">IF(COUNTIFS($B$2:B531,B531)&gt;=50,AVERAGE(OFFSET(C531,-49,0,50,1)),"")</f>
        <v>62.2892</v>
      </c>
    </row>
    <row r="532" customFormat="false" ht="15" hidden="false" customHeight="false" outlineLevel="0" collapsed="false">
      <c r="A532" s="17" t="n">
        <f aca="false">Cours_Bruts!A532</f>
        <v>45789</v>
      </c>
      <c r="B532" s="18" t="str">
        <f aca="false">Cours_Bruts!B532</f>
        <v>BNP</v>
      </c>
      <c r="C532" s="19" t="n">
        <f aca="false">Cours_Bruts!C532</f>
        <v>64.79</v>
      </c>
      <c r="D532" s="20" t="n">
        <f aca="false">IF(B532=B531,(C532-C531)/C531,"")</f>
        <v>-0.011744966442953</v>
      </c>
      <c r="E532" s="20" t="n">
        <f aca="false">IF(B532=B531,(1+E531)*(1+IF(D532="",0,D532))-1,0)</f>
        <v>0.0798333333333339</v>
      </c>
      <c r="F532" s="21" t="n">
        <f aca="false">IF(B532=B531,MAX(F531,C532),C532)</f>
        <v>65.73</v>
      </c>
      <c r="G532" s="20" t="n">
        <f aca="false">(C532-F532)/F532</f>
        <v>-0.0143009280389472</v>
      </c>
      <c r="H532" s="21" t="n">
        <f aca="true">IF(COUNTIFS($B$2:B532,B532)&gt;=20,AVERAGE(OFFSET(C532,-19,0,20,1)),"")</f>
        <v>64.799</v>
      </c>
      <c r="I532" s="21" t="n">
        <f aca="true">IF(COUNTIFS($B$2:B532,B532)&gt;=50,AVERAGE(OFFSET(C532,-49,0,50,1)),"")</f>
        <v>62.385</v>
      </c>
    </row>
    <row r="533" customFormat="false" ht="15" hidden="false" customHeight="false" outlineLevel="0" collapsed="false">
      <c r="A533" s="17" t="n">
        <f aca="false">Cours_Bruts!A533</f>
        <v>45790</v>
      </c>
      <c r="B533" s="18" t="str">
        <f aca="false">Cours_Bruts!B533</f>
        <v>BNP</v>
      </c>
      <c r="C533" s="19" t="n">
        <f aca="false">Cours_Bruts!C533</f>
        <v>66.4</v>
      </c>
      <c r="D533" s="20" t="n">
        <f aca="false">IF(B533=B532,(C533-C532)/C532,"")</f>
        <v>0.0248495138138602</v>
      </c>
      <c r="E533" s="20" t="n">
        <f aca="false">IF(B533=B532,(1+E532)*(1+IF(D533="",0,D533))-1,0)</f>
        <v>0.106666666666667</v>
      </c>
      <c r="F533" s="21" t="n">
        <f aca="false">IF(B533=B532,MAX(F532,C533),C533)</f>
        <v>66.4</v>
      </c>
      <c r="G533" s="20" t="n">
        <f aca="false">(C533-F533)/F533</f>
        <v>0</v>
      </c>
      <c r="H533" s="21" t="n">
        <f aca="true">IF(COUNTIFS($B$2:B533,B533)&gt;=20,AVERAGE(OFFSET(C533,-19,0,20,1)),"")</f>
        <v>64.916</v>
      </c>
      <c r="I533" s="21" t="n">
        <f aca="true">IF(COUNTIFS($B$2:B533,B533)&gt;=50,AVERAGE(OFFSET(C533,-49,0,50,1)),"")</f>
        <v>62.5082</v>
      </c>
    </row>
    <row r="534" customFormat="false" ht="15" hidden="false" customHeight="false" outlineLevel="0" collapsed="false">
      <c r="A534" s="17" t="n">
        <f aca="false">Cours_Bruts!A534</f>
        <v>45791</v>
      </c>
      <c r="B534" s="18" t="str">
        <f aca="false">Cours_Bruts!B534</f>
        <v>BNP</v>
      </c>
      <c r="C534" s="19" t="n">
        <f aca="false">Cours_Bruts!C534</f>
        <v>67.04</v>
      </c>
      <c r="D534" s="20" t="n">
        <f aca="false">IF(B534=B533,(C534-C533)/C533,"")</f>
        <v>0.00963855421686748</v>
      </c>
      <c r="E534" s="20" t="n">
        <f aca="false">IF(B534=B533,(1+E533)*(1+IF(D534="",0,D534))-1,0)</f>
        <v>0.117333333333334</v>
      </c>
      <c r="F534" s="21" t="n">
        <f aca="false">IF(B534=B533,MAX(F533,C534),C534)</f>
        <v>67.04</v>
      </c>
      <c r="G534" s="20" t="n">
        <f aca="false">(C534-F534)/F534</f>
        <v>0</v>
      </c>
      <c r="H534" s="21" t="n">
        <f aca="true">IF(COUNTIFS($B$2:B534,B534)&gt;=20,AVERAGE(OFFSET(C534,-19,0,20,1)),"")</f>
        <v>65.015</v>
      </c>
      <c r="I534" s="21" t="n">
        <f aca="true">IF(COUNTIFS($B$2:B534,B534)&gt;=50,AVERAGE(OFFSET(C534,-49,0,50,1)),"")</f>
        <v>62.6542</v>
      </c>
    </row>
    <row r="535" customFormat="false" ht="15" hidden="false" customHeight="false" outlineLevel="0" collapsed="false">
      <c r="A535" s="17" t="n">
        <f aca="false">Cours_Bruts!A535</f>
        <v>45792</v>
      </c>
      <c r="B535" s="18" t="str">
        <f aca="false">Cours_Bruts!B535</f>
        <v>BNP</v>
      </c>
      <c r="C535" s="19" t="n">
        <f aca="false">Cours_Bruts!C535</f>
        <v>65.84</v>
      </c>
      <c r="D535" s="20" t="n">
        <f aca="false">IF(B535=B534,(C535-C534)/C534,"")</f>
        <v>-0.0178997613365156</v>
      </c>
      <c r="E535" s="20" t="n">
        <f aca="false">IF(B535=B534,(1+E534)*(1+IF(D535="",0,D535))-1,0)</f>
        <v>0.0973333333333342</v>
      </c>
      <c r="F535" s="21" t="n">
        <f aca="false">IF(B535=B534,MAX(F534,C535),C535)</f>
        <v>67.04</v>
      </c>
      <c r="G535" s="20" t="n">
        <f aca="false">(C535-F535)/F535</f>
        <v>-0.0178997613365156</v>
      </c>
      <c r="H535" s="21" t="n">
        <f aca="true">IF(COUNTIFS($B$2:B535,B535)&gt;=20,AVERAGE(OFFSET(C535,-19,0,20,1)),"")</f>
        <v>65.078</v>
      </c>
      <c r="I535" s="21" t="n">
        <f aca="true">IF(COUNTIFS($B$2:B535,B535)&gt;=50,AVERAGE(OFFSET(C535,-49,0,50,1)),"")</f>
        <v>62.7798</v>
      </c>
    </row>
    <row r="536" customFormat="false" ht="15" hidden="false" customHeight="false" outlineLevel="0" collapsed="false">
      <c r="A536" s="17" t="n">
        <f aca="false">Cours_Bruts!A536</f>
        <v>45793</v>
      </c>
      <c r="B536" s="18" t="str">
        <f aca="false">Cours_Bruts!B536</f>
        <v>BNP</v>
      </c>
      <c r="C536" s="19" t="n">
        <f aca="false">Cours_Bruts!C536</f>
        <v>64.83</v>
      </c>
      <c r="D536" s="20" t="n">
        <f aca="false">IF(B536=B535,(C536-C535)/C535,"")</f>
        <v>-0.0153402187120292</v>
      </c>
      <c r="E536" s="20" t="n">
        <f aca="false">IF(B536=B535,(1+E535)*(1+IF(D536="",0,D536))-1,0)</f>
        <v>0.0805000000000007</v>
      </c>
      <c r="F536" s="21" t="n">
        <f aca="false">IF(B536=B535,MAX(F535,C536),C536)</f>
        <v>67.04</v>
      </c>
      <c r="G536" s="20" t="n">
        <f aca="false">(C536-F536)/F536</f>
        <v>-0.0329653937947495</v>
      </c>
      <c r="H536" s="21" t="n">
        <f aca="true">IF(COUNTIFS($B$2:B536,B536)&gt;=20,AVERAGE(OFFSET(C536,-19,0,20,1)),"")</f>
        <v>65.1055</v>
      </c>
      <c r="I536" s="21" t="n">
        <f aca="true">IF(COUNTIFS($B$2:B536,B536)&gt;=50,AVERAGE(OFFSET(C536,-49,0,50,1)),"")</f>
        <v>62.8998</v>
      </c>
    </row>
    <row r="537" customFormat="false" ht="15" hidden="false" customHeight="false" outlineLevel="0" collapsed="false">
      <c r="A537" s="17" t="n">
        <f aca="false">Cours_Bruts!A537</f>
        <v>45796</v>
      </c>
      <c r="B537" s="18" t="str">
        <f aca="false">Cours_Bruts!B537</f>
        <v>BNP</v>
      </c>
      <c r="C537" s="19" t="n">
        <f aca="false">Cours_Bruts!C537</f>
        <v>64.63</v>
      </c>
      <c r="D537" s="20" t="n">
        <f aca="false">IF(B537=B536,(C537-C536)/C536,"")</f>
        <v>-0.00308499151627337</v>
      </c>
      <c r="E537" s="20" t="n">
        <f aca="false">IF(B537=B536,(1+E536)*(1+IF(D537="",0,D537))-1,0)</f>
        <v>0.0771666666666673</v>
      </c>
      <c r="F537" s="21" t="n">
        <f aca="false">IF(B537=B536,MAX(F536,C537),C537)</f>
        <v>67.04</v>
      </c>
      <c r="G537" s="20" t="n">
        <f aca="false">(C537-F537)/F537</f>
        <v>-0.0359486873508355</v>
      </c>
      <c r="H537" s="21" t="n">
        <f aca="true">IF(COUNTIFS($B$2:B537,B537)&gt;=20,AVERAGE(OFFSET(C537,-19,0,20,1)),"")</f>
        <v>65.127</v>
      </c>
      <c r="I537" s="21" t="n">
        <f aca="true">IF(COUNTIFS($B$2:B537,B537)&gt;=50,AVERAGE(OFFSET(C537,-49,0,50,1)),"")</f>
        <v>62.999</v>
      </c>
    </row>
    <row r="538" customFormat="false" ht="15" hidden="false" customHeight="false" outlineLevel="0" collapsed="false">
      <c r="A538" s="17" t="n">
        <f aca="false">Cours_Bruts!A538</f>
        <v>45797</v>
      </c>
      <c r="B538" s="18" t="str">
        <f aca="false">Cours_Bruts!B538</f>
        <v>BNP</v>
      </c>
      <c r="C538" s="19" t="n">
        <f aca="false">Cours_Bruts!C538</f>
        <v>64.94</v>
      </c>
      <c r="D538" s="20" t="n">
        <f aca="false">IF(B538=B537,(C538-C537)/C537,"")</f>
        <v>0.00479653411728303</v>
      </c>
      <c r="E538" s="20" t="n">
        <f aca="false">IF(B538=B537,(1+E537)*(1+IF(D538="",0,D538))-1,0)</f>
        <v>0.082333333333334</v>
      </c>
      <c r="F538" s="21" t="n">
        <f aca="false">IF(B538=B537,MAX(F537,C538),C538)</f>
        <v>67.04</v>
      </c>
      <c r="G538" s="20" t="n">
        <f aca="false">(C538-F538)/F538</f>
        <v>-0.0313245823389023</v>
      </c>
      <c r="H538" s="21" t="n">
        <f aca="true">IF(COUNTIFS($B$2:B538,B538)&gt;=20,AVERAGE(OFFSET(C538,-19,0,20,1)),"")</f>
        <v>65.186</v>
      </c>
      <c r="I538" s="21" t="n">
        <f aca="true">IF(COUNTIFS($B$2:B538,B538)&gt;=50,AVERAGE(OFFSET(C538,-49,0,50,1)),"")</f>
        <v>63.103</v>
      </c>
    </row>
    <row r="539" customFormat="false" ht="15" hidden="false" customHeight="false" outlineLevel="0" collapsed="false">
      <c r="A539" s="17" t="n">
        <f aca="false">Cours_Bruts!A539</f>
        <v>45798</v>
      </c>
      <c r="B539" s="18" t="str">
        <f aca="false">Cours_Bruts!B539</f>
        <v>BNP</v>
      </c>
      <c r="C539" s="19" t="n">
        <f aca="false">Cours_Bruts!C539</f>
        <v>65.57</v>
      </c>
      <c r="D539" s="20" t="n">
        <f aca="false">IF(B539=B538,(C539-C538)/C538,"")</f>
        <v>0.00970126270403442</v>
      </c>
      <c r="E539" s="20" t="n">
        <f aca="false">IF(B539=B538,(1+E538)*(1+IF(D539="",0,D539))-1,0)</f>
        <v>0.092833333333334</v>
      </c>
      <c r="F539" s="21" t="n">
        <f aca="false">IF(B539=B538,MAX(F538,C539),C539)</f>
        <v>67.04</v>
      </c>
      <c r="G539" s="20" t="n">
        <f aca="false">(C539-F539)/F539</f>
        <v>-0.0219272076372317</v>
      </c>
      <c r="H539" s="21" t="n">
        <f aca="true">IF(COUNTIFS($B$2:B539,B539)&gt;=20,AVERAGE(OFFSET(C539,-19,0,20,1)),"")</f>
        <v>65.2265</v>
      </c>
      <c r="I539" s="21" t="n">
        <f aca="true">IF(COUNTIFS($B$2:B539,B539)&gt;=50,AVERAGE(OFFSET(C539,-49,0,50,1)),"")</f>
        <v>63.202</v>
      </c>
    </row>
    <row r="540" customFormat="false" ht="15" hidden="false" customHeight="false" outlineLevel="0" collapsed="false">
      <c r="A540" s="17" t="n">
        <f aca="false">Cours_Bruts!A540</f>
        <v>45799</v>
      </c>
      <c r="B540" s="18" t="str">
        <f aca="false">Cours_Bruts!B540</f>
        <v>BNP</v>
      </c>
      <c r="C540" s="19" t="n">
        <f aca="false">Cours_Bruts!C540</f>
        <v>66.53</v>
      </c>
      <c r="D540" s="20" t="n">
        <f aca="false">IF(B540=B539,(C540-C539)/C539,"")</f>
        <v>0.0146408418484064</v>
      </c>
      <c r="E540" s="20" t="n">
        <f aca="false">IF(B540=B539,(1+E539)*(1+IF(D540="",0,D540))-1,0)</f>
        <v>0.108833333333334</v>
      </c>
      <c r="F540" s="21" t="n">
        <f aca="false">IF(B540=B539,MAX(F539,C540),C540)</f>
        <v>67.04</v>
      </c>
      <c r="G540" s="20" t="n">
        <f aca="false">(C540-F540)/F540</f>
        <v>-0.00760739856801917</v>
      </c>
      <c r="H540" s="21" t="n">
        <f aca="true">IF(COUNTIFS($B$2:B540,B540)&gt;=20,AVERAGE(OFFSET(C540,-19,0,20,1)),"")</f>
        <v>65.3445</v>
      </c>
      <c r="I540" s="21" t="n">
        <f aca="true">IF(COUNTIFS($B$2:B540,B540)&gt;=50,AVERAGE(OFFSET(C540,-49,0,50,1)),"")</f>
        <v>63.2974</v>
      </c>
    </row>
    <row r="541" customFormat="false" ht="15" hidden="false" customHeight="false" outlineLevel="0" collapsed="false">
      <c r="A541" s="17" t="n">
        <f aca="false">Cours_Bruts!A541</f>
        <v>45800</v>
      </c>
      <c r="B541" s="18" t="str">
        <f aca="false">Cours_Bruts!B541</f>
        <v>BNP</v>
      </c>
      <c r="C541" s="19" t="n">
        <f aca="false">Cours_Bruts!C541</f>
        <v>67.1</v>
      </c>
      <c r="D541" s="20" t="n">
        <f aca="false">IF(B541=B540,(C541-C540)/C540,"")</f>
        <v>0.00856756350518553</v>
      </c>
      <c r="E541" s="20" t="n">
        <f aca="false">IF(B541=B540,(1+E540)*(1+IF(D541="",0,D541))-1,0)</f>
        <v>0.118333333333334</v>
      </c>
      <c r="F541" s="21" t="n">
        <f aca="false">IF(B541=B540,MAX(F540,C541),C541)</f>
        <v>67.1</v>
      </c>
      <c r="G541" s="20" t="n">
        <f aca="false">(C541-F541)/F541</f>
        <v>0</v>
      </c>
      <c r="H541" s="21" t="n">
        <f aca="true">IF(COUNTIFS($B$2:B541,B541)&gt;=20,AVERAGE(OFFSET(C541,-19,0,20,1)),"")</f>
        <v>65.4295</v>
      </c>
      <c r="I541" s="21" t="n">
        <f aca="true">IF(COUNTIFS($B$2:B541,B541)&gt;=50,AVERAGE(OFFSET(C541,-49,0,50,1)),"")</f>
        <v>63.4444</v>
      </c>
    </row>
    <row r="542" customFormat="false" ht="15" hidden="false" customHeight="false" outlineLevel="0" collapsed="false">
      <c r="A542" s="17" t="n">
        <f aca="false">Cours_Bruts!A542</f>
        <v>45803</v>
      </c>
      <c r="B542" s="18" t="str">
        <f aca="false">Cours_Bruts!B542</f>
        <v>BNP</v>
      </c>
      <c r="C542" s="19" t="n">
        <f aca="false">Cours_Bruts!C542</f>
        <v>68.49</v>
      </c>
      <c r="D542" s="20" t="n">
        <f aca="false">IF(B542=B541,(C542-C541)/C541,"")</f>
        <v>0.020715350223547</v>
      </c>
      <c r="E542" s="20" t="n">
        <f aca="false">IF(B542=B541,(1+E541)*(1+IF(D542="",0,D542))-1,0)</f>
        <v>0.141500000000001</v>
      </c>
      <c r="F542" s="21" t="n">
        <f aca="false">IF(B542=B541,MAX(F541,C542),C542)</f>
        <v>68.49</v>
      </c>
      <c r="G542" s="20" t="n">
        <f aca="false">(C542-F542)/F542</f>
        <v>0</v>
      </c>
      <c r="H542" s="21" t="n">
        <f aca="true">IF(COUNTIFS($B$2:B542,B542)&gt;=20,AVERAGE(OFFSET(C542,-19,0,20,1)),"")</f>
        <v>65.601</v>
      </c>
      <c r="I542" s="21" t="n">
        <f aca="true">IF(COUNTIFS($B$2:B542,B542)&gt;=50,AVERAGE(OFFSET(C542,-49,0,50,1)),"")</f>
        <v>63.6328</v>
      </c>
    </row>
    <row r="543" customFormat="false" ht="15" hidden="false" customHeight="false" outlineLevel="0" collapsed="false">
      <c r="A543" s="17" t="n">
        <f aca="false">Cours_Bruts!A543</f>
        <v>45804</v>
      </c>
      <c r="B543" s="18" t="str">
        <f aca="false">Cours_Bruts!B543</f>
        <v>BNP</v>
      </c>
      <c r="C543" s="19" t="n">
        <f aca="false">Cours_Bruts!C543</f>
        <v>68.64</v>
      </c>
      <c r="D543" s="20" t="n">
        <f aca="false">IF(B543=B542,(C543-C542)/C542,"")</f>
        <v>0.00219010074463434</v>
      </c>
      <c r="E543" s="20" t="n">
        <f aca="false">IF(B543=B542,(1+E542)*(1+IF(D543="",0,D543))-1,0)</f>
        <v>0.144000000000001</v>
      </c>
      <c r="F543" s="21" t="n">
        <f aca="false">IF(B543=B542,MAX(F542,C543),C543)</f>
        <v>68.64</v>
      </c>
      <c r="G543" s="20" t="n">
        <f aca="false">(C543-F543)/F543</f>
        <v>0</v>
      </c>
      <c r="H543" s="21" t="n">
        <f aca="true">IF(COUNTIFS($B$2:B543,B543)&gt;=20,AVERAGE(OFFSET(C543,-19,0,20,1)),"")</f>
        <v>65.7555</v>
      </c>
      <c r="I543" s="21" t="n">
        <f aca="true">IF(COUNTIFS($B$2:B543,B543)&gt;=50,AVERAGE(OFFSET(C543,-49,0,50,1)),"")</f>
        <v>63.8348</v>
      </c>
    </row>
    <row r="544" customFormat="false" ht="15" hidden="false" customHeight="false" outlineLevel="0" collapsed="false">
      <c r="A544" s="17" t="n">
        <f aca="false">Cours_Bruts!A544</f>
        <v>45805</v>
      </c>
      <c r="B544" s="18" t="str">
        <f aca="false">Cours_Bruts!B544</f>
        <v>BNP</v>
      </c>
      <c r="C544" s="19" t="n">
        <f aca="false">Cours_Bruts!C544</f>
        <v>67.87</v>
      </c>
      <c r="D544" s="20" t="n">
        <f aca="false">IF(B544=B543,(C544-C543)/C543,"")</f>
        <v>-0.0112179487179487</v>
      </c>
      <c r="E544" s="20" t="n">
        <f aca="false">IF(B544=B543,(1+E543)*(1+IF(D544="",0,D544))-1,0)</f>
        <v>0.131166666666668</v>
      </c>
      <c r="F544" s="21" t="n">
        <f aca="false">IF(B544=B543,MAX(F543,C544),C544)</f>
        <v>68.64</v>
      </c>
      <c r="G544" s="20" t="n">
        <f aca="false">(C544-F544)/F544</f>
        <v>-0.0112179487179487</v>
      </c>
      <c r="H544" s="21" t="n">
        <f aca="true">IF(COUNTIFS($B$2:B544,B544)&gt;=20,AVERAGE(OFFSET(C544,-19,0,20,1)),"")</f>
        <v>65.8625</v>
      </c>
      <c r="I544" s="21" t="n">
        <f aca="true">IF(COUNTIFS($B$2:B544,B544)&gt;=50,AVERAGE(OFFSET(C544,-49,0,50,1)),"")</f>
        <v>63.9756</v>
      </c>
    </row>
    <row r="545" customFormat="false" ht="15" hidden="false" customHeight="false" outlineLevel="0" collapsed="false">
      <c r="A545" s="17" t="n">
        <f aca="false">Cours_Bruts!A545</f>
        <v>45806</v>
      </c>
      <c r="B545" s="18" t="str">
        <f aca="false">Cours_Bruts!B545</f>
        <v>BNP</v>
      </c>
      <c r="C545" s="19" t="n">
        <f aca="false">Cours_Bruts!C545</f>
        <v>67.89</v>
      </c>
      <c r="D545" s="20" t="n">
        <f aca="false">IF(B545=B544,(C545-C544)/C544,"")</f>
        <v>0.000294681007808988</v>
      </c>
      <c r="E545" s="20" t="n">
        <f aca="false">IF(B545=B544,(1+E544)*(1+IF(D545="",0,D545))-1,0)</f>
        <v>0.131500000000001</v>
      </c>
      <c r="F545" s="21" t="n">
        <f aca="false">IF(B545=B544,MAX(F544,C545),C545)</f>
        <v>68.64</v>
      </c>
      <c r="G545" s="20" t="n">
        <f aca="false">(C545-F545)/F545</f>
        <v>-0.0109265734265734</v>
      </c>
      <c r="H545" s="21" t="n">
        <f aca="true">IF(COUNTIFS($B$2:B545,B545)&gt;=20,AVERAGE(OFFSET(C545,-19,0,20,1)),"")</f>
        <v>66.018</v>
      </c>
      <c r="I545" s="21" t="n">
        <f aca="true">IF(COUNTIFS($B$2:B545,B545)&gt;=50,AVERAGE(OFFSET(C545,-49,0,50,1)),"")</f>
        <v>64.1136</v>
      </c>
    </row>
    <row r="546" customFormat="false" ht="15" hidden="false" customHeight="false" outlineLevel="0" collapsed="false">
      <c r="A546" s="17" t="n">
        <f aca="false">Cours_Bruts!A546</f>
        <v>45807</v>
      </c>
      <c r="B546" s="18" t="str">
        <f aca="false">Cours_Bruts!B546</f>
        <v>BNP</v>
      </c>
      <c r="C546" s="19" t="n">
        <f aca="false">Cours_Bruts!C546</f>
        <v>67.84</v>
      </c>
      <c r="D546" s="20" t="n">
        <f aca="false">IF(B546=B545,(C546-C545)/C545,"")</f>
        <v>-0.000736485491235781</v>
      </c>
      <c r="E546" s="20" t="n">
        <f aca="false">IF(B546=B545,(1+E545)*(1+IF(D546="",0,D546))-1,0)</f>
        <v>0.130666666666668</v>
      </c>
      <c r="F546" s="21" t="n">
        <f aca="false">IF(B546=B545,MAX(F545,C546),C546)</f>
        <v>68.64</v>
      </c>
      <c r="G546" s="20" t="n">
        <f aca="false">(C546-F546)/F546</f>
        <v>-0.0116550116550116</v>
      </c>
      <c r="H546" s="21" t="n">
        <f aca="true">IF(COUNTIFS($B$2:B546,B546)&gt;=20,AVERAGE(OFFSET(C546,-19,0,20,1)),"")</f>
        <v>66.171</v>
      </c>
      <c r="I546" s="21" t="n">
        <f aca="true">IF(COUNTIFS($B$2:B546,B546)&gt;=50,AVERAGE(OFFSET(C546,-49,0,50,1)),"")</f>
        <v>64.2354</v>
      </c>
    </row>
    <row r="547" customFormat="false" ht="15" hidden="false" customHeight="false" outlineLevel="0" collapsed="false">
      <c r="A547" s="17" t="n">
        <f aca="false">Cours_Bruts!A547</f>
        <v>45810</v>
      </c>
      <c r="B547" s="18" t="str">
        <f aca="false">Cours_Bruts!B547</f>
        <v>BNP</v>
      </c>
      <c r="C547" s="19" t="n">
        <f aca="false">Cours_Bruts!C547</f>
        <v>65.22</v>
      </c>
      <c r="D547" s="20" t="n">
        <f aca="false">IF(B547=B546,(C547-C546)/C546,"")</f>
        <v>-0.038620283018868</v>
      </c>
      <c r="E547" s="20" t="n">
        <f aca="false">IF(B547=B546,(1+E546)*(1+IF(D547="",0,D547))-1,0)</f>
        <v>0.0870000000000009</v>
      </c>
      <c r="F547" s="21" t="n">
        <f aca="false">IF(B547=B546,MAX(F546,C547),C547)</f>
        <v>68.64</v>
      </c>
      <c r="G547" s="20" t="n">
        <f aca="false">(C547-F547)/F547</f>
        <v>-0.0498251748251749</v>
      </c>
      <c r="H547" s="21" t="n">
        <f aca="true">IF(COUNTIFS($B$2:B547,B547)&gt;=20,AVERAGE(OFFSET(C547,-19,0,20,1)),"")</f>
        <v>66.1755</v>
      </c>
      <c r="I547" s="21" t="n">
        <f aca="true">IF(COUNTIFS($B$2:B547,B547)&gt;=50,AVERAGE(OFFSET(C547,-49,0,50,1)),"")</f>
        <v>64.3394</v>
      </c>
    </row>
    <row r="548" customFormat="false" ht="15" hidden="false" customHeight="false" outlineLevel="0" collapsed="false">
      <c r="A548" s="17" t="n">
        <f aca="false">Cours_Bruts!A548</f>
        <v>45811</v>
      </c>
      <c r="B548" s="18" t="str">
        <f aca="false">Cours_Bruts!B548</f>
        <v>BNP</v>
      </c>
      <c r="C548" s="19" t="n">
        <f aca="false">Cours_Bruts!C548</f>
        <v>64.69</v>
      </c>
      <c r="D548" s="20" t="n">
        <f aca="false">IF(B548=B547,(C548-C547)/C547,"")</f>
        <v>-0.00812634161300216</v>
      </c>
      <c r="E548" s="20" t="n">
        <f aca="false">IF(B548=B547,(1+E547)*(1+IF(D548="",0,D548))-1,0)</f>
        <v>0.0781666666666674</v>
      </c>
      <c r="F548" s="21" t="n">
        <f aca="false">IF(B548=B547,MAX(F547,C548),C548)</f>
        <v>68.64</v>
      </c>
      <c r="G548" s="20" t="n">
        <f aca="false">(C548-F548)/F548</f>
        <v>-0.0575466200466201</v>
      </c>
      <c r="H548" s="21" t="n">
        <f aca="true">IF(COUNTIFS($B$2:B548,B548)&gt;=20,AVERAGE(OFFSET(C548,-19,0,20,1)),"")</f>
        <v>66.1555</v>
      </c>
      <c r="I548" s="21" t="n">
        <f aca="true">IF(COUNTIFS($B$2:B548,B548)&gt;=50,AVERAGE(OFFSET(C548,-49,0,50,1)),"")</f>
        <v>64.4298</v>
      </c>
    </row>
    <row r="549" customFormat="false" ht="15" hidden="false" customHeight="false" outlineLevel="0" collapsed="false">
      <c r="A549" s="17" t="n">
        <f aca="false">Cours_Bruts!A549</f>
        <v>45812</v>
      </c>
      <c r="B549" s="18" t="str">
        <f aca="false">Cours_Bruts!B549</f>
        <v>BNP</v>
      </c>
      <c r="C549" s="19" t="n">
        <f aca="false">Cours_Bruts!C549</f>
        <v>65.01</v>
      </c>
      <c r="D549" s="20" t="n">
        <f aca="false">IF(B549=B548,(C549-C548)/C548,"")</f>
        <v>0.00494666872777875</v>
      </c>
      <c r="E549" s="20" t="n">
        <f aca="false">IF(B549=B548,(1+E548)*(1+IF(D549="",0,D549))-1,0)</f>
        <v>0.083500000000001</v>
      </c>
      <c r="F549" s="21" t="n">
        <f aca="false">IF(B549=B548,MAX(F548,C549),C549)</f>
        <v>68.64</v>
      </c>
      <c r="G549" s="20" t="n">
        <f aca="false">(C549-F549)/F549</f>
        <v>-0.0528846153846153</v>
      </c>
      <c r="H549" s="21" t="n">
        <f aca="true">IF(COUNTIFS($B$2:B549,B549)&gt;=20,AVERAGE(OFFSET(C549,-19,0,20,1)),"")</f>
        <v>66.2165</v>
      </c>
      <c r="I549" s="21" t="n">
        <f aca="true">IF(COUNTIFS($B$2:B549,B549)&gt;=50,AVERAGE(OFFSET(C549,-49,0,50,1)),"")</f>
        <v>64.5084</v>
      </c>
    </row>
    <row r="550" customFormat="false" ht="15" hidden="false" customHeight="false" outlineLevel="0" collapsed="false">
      <c r="A550" s="17" t="n">
        <f aca="false">Cours_Bruts!A550</f>
        <v>45813</v>
      </c>
      <c r="B550" s="18" t="str">
        <f aca="false">Cours_Bruts!B550</f>
        <v>BNP</v>
      </c>
      <c r="C550" s="19" t="n">
        <f aca="false">Cours_Bruts!C550</f>
        <v>64.62</v>
      </c>
      <c r="D550" s="20" t="n">
        <f aca="false">IF(B550=B549,(C550-C549)/C549,"")</f>
        <v>-0.00599907706506692</v>
      </c>
      <c r="E550" s="20" t="n">
        <f aca="false">IF(B550=B549,(1+E549)*(1+IF(D550="",0,D550))-1,0)</f>
        <v>0.0770000000000009</v>
      </c>
      <c r="F550" s="21" t="n">
        <f aca="false">IF(B550=B549,MAX(F549,C550),C550)</f>
        <v>68.64</v>
      </c>
      <c r="G550" s="20" t="n">
        <f aca="false">(C550-F550)/F550</f>
        <v>-0.0585664335664335</v>
      </c>
      <c r="H550" s="21" t="n">
        <f aca="true">IF(COUNTIFS($B$2:B550,B550)&gt;=20,AVERAGE(OFFSET(C550,-19,0,20,1)),"")</f>
        <v>66.175</v>
      </c>
      <c r="I550" s="21" t="n">
        <f aca="true">IF(COUNTIFS($B$2:B550,B550)&gt;=50,AVERAGE(OFFSET(C550,-49,0,50,1)),"")</f>
        <v>64.563</v>
      </c>
    </row>
    <row r="551" customFormat="false" ht="15" hidden="false" customHeight="false" outlineLevel="0" collapsed="false">
      <c r="A551" s="17" t="n">
        <f aca="false">Cours_Bruts!A551</f>
        <v>45814</v>
      </c>
      <c r="B551" s="18" t="str">
        <f aca="false">Cours_Bruts!B551</f>
        <v>BNP</v>
      </c>
      <c r="C551" s="19" t="n">
        <f aca="false">Cours_Bruts!C551</f>
        <v>64.01</v>
      </c>
      <c r="D551" s="20" t="n">
        <f aca="false">IF(B551=B550,(C551-C550)/C550,"")</f>
        <v>-0.00943980191891054</v>
      </c>
      <c r="E551" s="20" t="n">
        <f aca="false">IF(B551=B550,(1+E550)*(1+IF(D551="",0,D551))-1,0)</f>
        <v>0.0668333333333342</v>
      </c>
      <c r="F551" s="21" t="n">
        <f aca="false">IF(B551=B550,MAX(F550,C551),C551)</f>
        <v>68.64</v>
      </c>
      <c r="G551" s="20" t="n">
        <f aca="false">(C551-F551)/F551</f>
        <v>-0.0674533799533799</v>
      </c>
      <c r="H551" s="21" t="n">
        <f aca="true">IF(COUNTIFS($B$2:B551,B551)&gt;=20,AVERAGE(OFFSET(C551,-19,0,20,1)),"")</f>
        <v>66.0975</v>
      </c>
      <c r="I551" s="21" t="n">
        <f aca="true">IF(COUNTIFS($B$2:B551,B551)&gt;=50,AVERAGE(OFFSET(C551,-49,0,50,1)),"")</f>
        <v>64.5934</v>
      </c>
    </row>
    <row r="552" customFormat="false" ht="15" hidden="false" customHeight="false" outlineLevel="0" collapsed="false">
      <c r="A552" s="17" t="n">
        <f aca="false">Cours_Bruts!A552</f>
        <v>45817</v>
      </c>
      <c r="B552" s="18" t="str">
        <f aca="false">Cours_Bruts!B552</f>
        <v>BNP</v>
      </c>
      <c r="C552" s="19" t="n">
        <f aca="false">Cours_Bruts!C552</f>
        <v>64.91</v>
      </c>
      <c r="D552" s="20" t="n">
        <f aca="false">IF(B552=B551,(C552-C551)/C551,"")</f>
        <v>0.014060303077644</v>
      </c>
      <c r="E552" s="20" t="n">
        <f aca="false">IF(B552=B551,(1+E551)*(1+IF(D552="",0,D552))-1,0)</f>
        <v>0.0818333333333341</v>
      </c>
      <c r="F552" s="21" t="n">
        <f aca="false">IF(B552=B551,MAX(F551,C552),C552)</f>
        <v>68.64</v>
      </c>
      <c r="G552" s="20" t="n">
        <f aca="false">(C552-F552)/F552</f>
        <v>-0.0543414918414919</v>
      </c>
      <c r="H552" s="21" t="n">
        <f aca="true">IF(COUNTIFS($B$2:B552,B552)&gt;=20,AVERAGE(OFFSET(C552,-19,0,20,1)),"")</f>
        <v>66.1035</v>
      </c>
      <c r="I552" s="21" t="n">
        <f aca="true">IF(COUNTIFS($B$2:B552,B552)&gt;=50,AVERAGE(OFFSET(C552,-49,0,50,1)),"")</f>
        <v>64.641</v>
      </c>
    </row>
    <row r="553" customFormat="false" ht="15" hidden="false" customHeight="false" outlineLevel="0" collapsed="false">
      <c r="A553" s="17" t="n">
        <f aca="false">Cours_Bruts!A553</f>
        <v>45818</v>
      </c>
      <c r="B553" s="18" t="str">
        <f aca="false">Cours_Bruts!B553</f>
        <v>BNP</v>
      </c>
      <c r="C553" s="19" t="n">
        <f aca="false">Cours_Bruts!C553</f>
        <v>64.03</v>
      </c>
      <c r="D553" s="20" t="n">
        <f aca="false">IF(B553=B552,(C553-C552)/C552,"")</f>
        <v>-0.0135572330919734</v>
      </c>
      <c r="E553" s="20" t="n">
        <f aca="false">IF(B553=B552,(1+E552)*(1+IF(D553="",0,D553))-1,0)</f>
        <v>0.0671666666666675</v>
      </c>
      <c r="F553" s="21" t="n">
        <f aca="false">IF(B553=B552,MAX(F552,C553),C553)</f>
        <v>68.64</v>
      </c>
      <c r="G553" s="20" t="n">
        <f aca="false">(C553-F553)/F553</f>
        <v>-0.0671620046620047</v>
      </c>
      <c r="H553" s="21" t="n">
        <f aca="true">IF(COUNTIFS($B$2:B553,B553)&gt;=20,AVERAGE(OFFSET(C553,-19,0,20,1)),"")</f>
        <v>65.985</v>
      </c>
      <c r="I553" s="21" t="n">
        <f aca="true">IF(COUNTIFS($B$2:B553,B553)&gt;=50,AVERAGE(OFFSET(C553,-49,0,50,1)),"")</f>
        <v>64.6696</v>
      </c>
    </row>
    <row r="554" customFormat="false" ht="15" hidden="false" customHeight="false" outlineLevel="0" collapsed="false">
      <c r="A554" s="17" t="n">
        <f aca="false">Cours_Bruts!A554</f>
        <v>45819</v>
      </c>
      <c r="B554" s="18" t="str">
        <f aca="false">Cours_Bruts!B554</f>
        <v>BNP</v>
      </c>
      <c r="C554" s="19" t="n">
        <f aca="false">Cours_Bruts!C554</f>
        <v>64.74</v>
      </c>
      <c r="D554" s="20" t="n">
        <f aca="false">IF(B554=B553,(C554-C553)/C553,"")</f>
        <v>0.0110885522411369</v>
      </c>
      <c r="E554" s="20" t="n">
        <f aca="false">IF(B554=B553,(1+E553)*(1+IF(D554="",0,D554))-1,0)</f>
        <v>0.0790000000000006</v>
      </c>
      <c r="F554" s="21" t="n">
        <f aca="false">IF(B554=B553,MAX(F553,C554),C554)</f>
        <v>68.64</v>
      </c>
      <c r="G554" s="20" t="n">
        <f aca="false">(C554-F554)/F554</f>
        <v>-0.0568181818181819</v>
      </c>
      <c r="H554" s="21" t="n">
        <f aca="true">IF(COUNTIFS($B$2:B554,B554)&gt;=20,AVERAGE(OFFSET(C554,-19,0,20,1)),"")</f>
        <v>65.87</v>
      </c>
      <c r="I554" s="21" t="n">
        <f aca="true">IF(COUNTIFS($B$2:B554,B554)&gt;=50,AVERAGE(OFFSET(C554,-49,0,50,1)),"")</f>
        <v>64.744</v>
      </c>
    </row>
    <row r="555" customFormat="false" ht="15" hidden="false" customHeight="false" outlineLevel="0" collapsed="false">
      <c r="A555" s="17" t="n">
        <f aca="false">Cours_Bruts!A555</f>
        <v>45820</v>
      </c>
      <c r="B555" s="18" t="str">
        <f aca="false">Cours_Bruts!B555</f>
        <v>BNP</v>
      </c>
      <c r="C555" s="19" t="n">
        <f aca="false">Cours_Bruts!C555</f>
        <v>63.45</v>
      </c>
      <c r="D555" s="20" t="n">
        <f aca="false">IF(B555=B554,(C555-C554)/C554,"")</f>
        <v>-0.0199258572752547</v>
      </c>
      <c r="E555" s="20" t="n">
        <f aca="false">IF(B555=B554,(1+E554)*(1+IF(D555="",0,D555))-1,0)</f>
        <v>0.0575000000000008</v>
      </c>
      <c r="F555" s="21" t="n">
        <f aca="false">IF(B555=B554,MAX(F554,C555),C555)</f>
        <v>68.64</v>
      </c>
      <c r="G555" s="20" t="n">
        <f aca="false">(C555-F555)/F555</f>
        <v>-0.0756118881118881</v>
      </c>
      <c r="H555" s="21" t="n">
        <f aca="true">IF(COUNTIFS($B$2:B555,B555)&gt;=20,AVERAGE(OFFSET(C555,-19,0,20,1)),"")</f>
        <v>65.7505</v>
      </c>
      <c r="I555" s="21" t="n">
        <f aca="true">IF(COUNTIFS($B$2:B555,B555)&gt;=50,AVERAGE(OFFSET(C555,-49,0,50,1)),"")</f>
        <v>64.8088</v>
      </c>
    </row>
    <row r="556" customFormat="false" ht="15" hidden="false" customHeight="false" outlineLevel="0" collapsed="false">
      <c r="A556" s="17" t="n">
        <f aca="false">Cours_Bruts!A556</f>
        <v>45821</v>
      </c>
      <c r="B556" s="18" t="str">
        <f aca="false">Cours_Bruts!B556</f>
        <v>BNP</v>
      </c>
      <c r="C556" s="19" t="n">
        <f aca="false">Cours_Bruts!C556</f>
        <v>66.12</v>
      </c>
      <c r="D556" s="20" t="n">
        <f aca="false">IF(B556=B555,(C556-C555)/C555,"")</f>
        <v>0.042080378250591</v>
      </c>
      <c r="E556" s="20" t="n">
        <f aca="false">IF(B556=B555,(1+E555)*(1+IF(D556="",0,D556))-1,0)</f>
        <v>0.102000000000001</v>
      </c>
      <c r="F556" s="21" t="n">
        <f aca="false">IF(B556=B555,MAX(F555,C556),C556)</f>
        <v>68.64</v>
      </c>
      <c r="G556" s="20" t="n">
        <f aca="false">(C556-F556)/F556</f>
        <v>-0.0367132867132867</v>
      </c>
      <c r="H556" s="21" t="n">
        <f aca="true">IF(COUNTIFS($B$2:B556,B556)&gt;=20,AVERAGE(OFFSET(C556,-19,0,20,1)),"")</f>
        <v>65.815</v>
      </c>
      <c r="I556" s="21" t="n">
        <f aca="true">IF(COUNTIFS($B$2:B556,B556)&gt;=50,AVERAGE(OFFSET(C556,-49,0,50,1)),"")</f>
        <v>64.9224</v>
      </c>
    </row>
    <row r="557" customFormat="false" ht="15" hidden="false" customHeight="false" outlineLevel="0" collapsed="false">
      <c r="A557" s="17" t="n">
        <f aca="false">Cours_Bruts!A557</f>
        <v>45824</v>
      </c>
      <c r="B557" s="18" t="str">
        <f aca="false">Cours_Bruts!B557</f>
        <v>BNP</v>
      </c>
      <c r="C557" s="19" t="n">
        <f aca="false">Cours_Bruts!C557</f>
        <v>65.93</v>
      </c>
      <c r="D557" s="20" t="n">
        <f aca="false">IF(B557=B556,(C557-C556)/C556,"")</f>
        <v>-0.00287356321839077</v>
      </c>
      <c r="E557" s="20" t="n">
        <f aca="false">IF(B557=B556,(1+E556)*(1+IF(D557="",0,D557))-1,0)</f>
        <v>0.0988333333333342</v>
      </c>
      <c r="F557" s="21" t="n">
        <f aca="false">IF(B557=B556,MAX(F556,C557),C557)</f>
        <v>68.64</v>
      </c>
      <c r="G557" s="20" t="n">
        <f aca="false">(C557-F557)/F557</f>
        <v>-0.0394813519813519</v>
      </c>
      <c r="H557" s="21" t="n">
        <f aca="true">IF(COUNTIFS($B$2:B557,B557)&gt;=20,AVERAGE(OFFSET(C557,-19,0,20,1)),"")</f>
        <v>65.88</v>
      </c>
      <c r="I557" s="21" t="n">
        <f aca="true">IF(COUNTIFS($B$2:B557,B557)&gt;=50,AVERAGE(OFFSET(C557,-49,0,50,1)),"")</f>
        <v>65.045</v>
      </c>
    </row>
    <row r="558" customFormat="false" ht="15" hidden="false" customHeight="false" outlineLevel="0" collapsed="false">
      <c r="A558" s="17" t="n">
        <f aca="false">Cours_Bruts!A558</f>
        <v>45825</v>
      </c>
      <c r="B558" s="18" t="str">
        <f aca="false">Cours_Bruts!B558</f>
        <v>BNP</v>
      </c>
      <c r="C558" s="19" t="n">
        <f aca="false">Cours_Bruts!C558</f>
        <v>65.63</v>
      </c>
      <c r="D558" s="20" t="n">
        <f aca="false">IF(B558=B557,(C558-C557)/C557,"")</f>
        <v>-0.00455028060063721</v>
      </c>
      <c r="E558" s="20" t="n">
        <f aca="false">IF(B558=B557,(1+E557)*(1+IF(D558="",0,D558))-1,0)</f>
        <v>0.0938333333333341</v>
      </c>
      <c r="F558" s="21" t="n">
        <f aca="false">IF(B558=B557,MAX(F557,C558),C558)</f>
        <v>68.64</v>
      </c>
      <c r="G558" s="20" t="n">
        <f aca="false">(C558-F558)/F558</f>
        <v>-0.0438519813519814</v>
      </c>
      <c r="H558" s="21" t="n">
        <f aca="true">IF(COUNTIFS($B$2:B558,B558)&gt;=20,AVERAGE(OFFSET(C558,-19,0,20,1)),"")</f>
        <v>65.9145</v>
      </c>
      <c r="I558" s="21" t="n">
        <f aca="true">IF(COUNTIFS($B$2:B558,B558)&gt;=50,AVERAGE(OFFSET(C558,-49,0,50,1)),"")</f>
        <v>65.1486</v>
      </c>
    </row>
    <row r="559" customFormat="false" ht="15" hidden="false" customHeight="false" outlineLevel="0" collapsed="false">
      <c r="A559" s="17" t="n">
        <f aca="false">Cours_Bruts!A559</f>
        <v>45826</v>
      </c>
      <c r="B559" s="18" t="str">
        <f aca="false">Cours_Bruts!B559</f>
        <v>BNP</v>
      </c>
      <c r="C559" s="19" t="n">
        <f aca="false">Cours_Bruts!C559</f>
        <v>66.78</v>
      </c>
      <c r="D559" s="20" t="n">
        <f aca="false">IF(B559=B558,(C559-C558)/C558,"")</f>
        <v>0.0175224744781351</v>
      </c>
      <c r="E559" s="20" t="n">
        <f aca="false">IF(B559=B558,(1+E558)*(1+IF(D559="",0,D559))-1,0)</f>
        <v>0.113000000000001</v>
      </c>
      <c r="F559" s="21" t="n">
        <f aca="false">IF(B559=B558,MAX(F558,C559),C559)</f>
        <v>68.64</v>
      </c>
      <c r="G559" s="20" t="n">
        <f aca="false">(C559-F559)/F559</f>
        <v>-0.0270979020979021</v>
      </c>
      <c r="H559" s="21" t="n">
        <f aca="true">IF(COUNTIFS($B$2:B559,B559)&gt;=20,AVERAGE(OFFSET(C559,-19,0,20,1)),"")</f>
        <v>65.975</v>
      </c>
      <c r="I559" s="21" t="n">
        <f aca="true">IF(COUNTIFS($B$2:B559,B559)&gt;=50,AVERAGE(OFFSET(C559,-49,0,50,1)),"")</f>
        <v>65.2664</v>
      </c>
    </row>
    <row r="560" customFormat="false" ht="15" hidden="false" customHeight="false" outlineLevel="0" collapsed="false">
      <c r="A560" s="17" t="n">
        <f aca="false">Cours_Bruts!A560</f>
        <v>45827</v>
      </c>
      <c r="B560" s="18" t="str">
        <f aca="false">Cours_Bruts!B560</f>
        <v>BNP</v>
      </c>
      <c r="C560" s="19" t="n">
        <f aca="false">Cours_Bruts!C560</f>
        <v>66.38</v>
      </c>
      <c r="D560" s="20" t="n">
        <f aca="false">IF(B560=B559,(C560-C559)/C559,"")</f>
        <v>-0.00598981731057211</v>
      </c>
      <c r="E560" s="20" t="n">
        <f aca="false">IF(B560=B559,(1+E559)*(1+IF(D560="",0,D560))-1,0)</f>
        <v>0.106333333333334</v>
      </c>
      <c r="F560" s="21" t="n">
        <f aca="false">IF(B560=B559,MAX(F559,C560),C560)</f>
        <v>68.64</v>
      </c>
      <c r="G560" s="20" t="n">
        <f aca="false">(C560-F560)/F560</f>
        <v>-0.032925407925408</v>
      </c>
      <c r="H560" s="21" t="n">
        <f aca="true">IF(COUNTIFS($B$2:B560,B560)&gt;=20,AVERAGE(OFFSET(C560,-19,0,20,1)),"")</f>
        <v>65.9675</v>
      </c>
      <c r="I560" s="21" t="n">
        <f aca="true">IF(COUNTIFS($B$2:B560,B560)&gt;=50,AVERAGE(OFFSET(C560,-49,0,50,1)),"")</f>
        <v>65.3506</v>
      </c>
    </row>
    <row r="561" customFormat="false" ht="15" hidden="false" customHeight="false" outlineLevel="0" collapsed="false">
      <c r="A561" s="17" t="n">
        <f aca="false">Cours_Bruts!A561</f>
        <v>45828</v>
      </c>
      <c r="B561" s="18" t="str">
        <f aca="false">Cours_Bruts!B561</f>
        <v>BNP</v>
      </c>
      <c r="C561" s="19" t="n">
        <f aca="false">Cours_Bruts!C561</f>
        <v>67.86</v>
      </c>
      <c r="D561" s="20" t="n">
        <f aca="false">IF(B561=B560,(C561-C560)/C560,"")</f>
        <v>0.022295872250678</v>
      </c>
      <c r="E561" s="20" t="n">
        <f aca="false">IF(B561=B560,(1+E560)*(1+IF(D561="",0,D561))-1,0)</f>
        <v>0.131000000000001</v>
      </c>
      <c r="F561" s="21" t="n">
        <f aca="false">IF(B561=B560,MAX(F560,C561),C561)</f>
        <v>68.64</v>
      </c>
      <c r="G561" s="20" t="n">
        <f aca="false">(C561-F561)/F561</f>
        <v>-0.0113636363636364</v>
      </c>
      <c r="H561" s="21" t="n">
        <f aca="true">IF(COUNTIFS($B$2:B561,B561)&gt;=20,AVERAGE(OFFSET(C561,-19,0,20,1)),"")</f>
        <v>66.0055</v>
      </c>
      <c r="I561" s="21" t="n">
        <f aca="true">IF(COUNTIFS($B$2:B561,B561)&gt;=50,AVERAGE(OFFSET(C561,-49,0,50,1)),"")</f>
        <v>65.446</v>
      </c>
    </row>
    <row r="562" customFormat="false" ht="15" hidden="false" customHeight="false" outlineLevel="0" collapsed="false">
      <c r="A562" s="17" t="n">
        <f aca="false">Cours_Bruts!A562</f>
        <v>45719</v>
      </c>
      <c r="B562" s="18" t="str">
        <f aca="false">Cours_Bruts!B562</f>
        <v>JPM</v>
      </c>
      <c r="C562" s="19" t="n">
        <f aca="false">Cours_Bruts!C562</f>
        <v>195</v>
      </c>
      <c r="D562" s="20" t="str">
        <f aca="false">IF(B562=B561,(C562-C561)/C561,"")</f>
        <v/>
      </c>
      <c r="E562" s="20" t="n">
        <f aca="false">IF(B562=B561,(1+E561)*(1+IF(D562="",0,D562))-1,0)</f>
        <v>0</v>
      </c>
      <c r="F562" s="21" t="n">
        <f aca="false">IF(B562=B561,MAX(F561,C562),C562)</f>
        <v>195</v>
      </c>
      <c r="G562" s="20" t="n">
        <f aca="false">(C562-F562)/F562</f>
        <v>0</v>
      </c>
      <c r="H562" s="21" t="str">
        <f aca="true">IF(COUNTIFS($B$2:B562,B562)&gt;=20,AVERAGE(OFFSET(C562,-19,0,20,1)),"")</f>
        <v/>
      </c>
      <c r="I562" s="21" t="str">
        <f aca="true">IF(COUNTIFS($B$2:B562,B562)&gt;=50,AVERAGE(OFFSET(C562,-49,0,50,1)),"")</f>
        <v/>
      </c>
    </row>
    <row r="563" customFormat="false" ht="15" hidden="false" customHeight="false" outlineLevel="0" collapsed="false">
      <c r="A563" s="17" t="n">
        <f aca="false">Cours_Bruts!A563</f>
        <v>45720</v>
      </c>
      <c r="B563" s="18" t="str">
        <f aca="false">Cours_Bruts!B563</f>
        <v>JPM</v>
      </c>
      <c r="C563" s="19" t="n">
        <f aca="false">Cours_Bruts!C563</f>
        <v>198.55</v>
      </c>
      <c r="D563" s="20" t="n">
        <f aca="false">IF(B563=B562,(C563-C562)/C562,"")</f>
        <v>0.0182051282051283</v>
      </c>
      <c r="E563" s="20" t="n">
        <f aca="false">IF(B563=B562,(1+E562)*(1+IF(D563="",0,D563))-1,0)</f>
        <v>0.0182051282051283</v>
      </c>
      <c r="F563" s="21" t="n">
        <f aca="false">IF(B563=B562,MAX(F562,C563),C563)</f>
        <v>198.55</v>
      </c>
      <c r="G563" s="20" t="n">
        <f aca="false">(C563-F563)/F563</f>
        <v>0</v>
      </c>
      <c r="H563" s="21" t="str">
        <f aca="true">IF(COUNTIFS($B$2:B563,B563)&gt;=20,AVERAGE(OFFSET(C563,-19,0,20,1)),"")</f>
        <v/>
      </c>
      <c r="I563" s="21" t="str">
        <f aca="true">IF(COUNTIFS($B$2:B563,B563)&gt;=50,AVERAGE(OFFSET(C563,-49,0,50,1)),"")</f>
        <v/>
      </c>
    </row>
    <row r="564" customFormat="false" ht="15" hidden="false" customHeight="false" outlineLevel="0" collapsed="false">
      <c r="A564" s="17" t="n">
        <f aca="false">Cours_Bruts!A564</f>
        <v>45721</v>
      </c>
      <c r="B564" s="18" t="str">
        <f aca="false">Cours_Bruts!B564</f>
        <v>JPM</v>
      </c>
      <c r="C564" s="19" t="n">
        <f aca="false">Cours_Bruts!C564</f>
        <v>200.83</v>
      </c>
      <c r="D564" s="20" t="n">
        <f aca="false">IF(B564=B563,(C564-C563)/C563,"")</f>
        <v>0.0114832535885168</v>
      </c>
      <c r="E564" s="20" t="n">
        <f aca="false">IF(B564=B563,(1+E563)*(1+IF(D564="",0,D564))-1,0)</f>
        <v>0.029897435897436</v>
      </c>
      <c r="F564" s="21" t="n">
        <f aca="false">IF(B564=B563,MAX(F563,C564),C564)</f>
        <v>200.83</v>
      </c>
      <c r="G564" s="20" t="n">
        <f aca="false">(C564-F564)/F564</f>
        <v>0</v>
      </c>
      <c r="H564" s="21" t="str">
        <f aca="true">IF(COUNTIFS($B$2:B564,B564)&gt;=20,AVERAGE(OFFSET(C564,-19,0,20,1)),"")</f>
        <v/>
      </c>
      <c r="I564" s="21" t="str">
        <f aca="true">IF(COUNTIFS($B$2:B564,B564)&gt;=50,AVERAGE(OFFSET(C564,-49,0,50,1)),"")</f>
        <v/>
      </c>
    </row>
    <row r="565" customFormat="false" ht="15" hidden="false" customHeight="false" outlineLevel="0" collapsed="false">
      <c r="A565" s="17" t="n">
        <f aca="false">Cours_Bruts!A565</f>
        <v>45722</v>
      </c>
      <c r="B565" s="18" t="str">
        <f aca="false">Cours_Bruts!B565</f>
        <v>JPM</v>
      </c>
      <c r="C565" s="19" t="n">
        <f aca="false">Cours_Bruts!C565</f>
        <v>203.49</v>
      </c>
      <c r="D565" s="20" t="n">
        <f aca="false">IF(B565=B564,(C565-C564)/C564,"")</f>
        <v>0.0132450331125828</v>
      </c>
      <c r="E565" s="20" t="n">
        <f aca="false">IF(B565=B564,(1+E564)*(1+IF(D565="",0,D565))-1,0)</f>
        <v>0.0435384615384618</v>
      </c>
      <c r="F565" s="21" t="n">
        <f aca="false">IF(B565=B564,MAX(F564,C565),C565)</f>
        <v>203.49</v>
      </c>
      <c r="G565" s="20" t="n">
        <f aca="false">(C565-F565)/F565</f>
        <v>0</v>
      </c>
      <c r="H565" s="21" t="str">
        <f aca="true">IF(COUNTIFS($B$2:B565,B565)&gt;=20,AVERAGE(OFFSET(C565,-19,0,20,1)),"")</f>
        <v/>
      </c>
      <c r="I565" s="21" t="str">
        <f aca="true">IF(COUNTIFS($B$2:B565,B565)&gt;=50,AVERAGE(OFFSET(C565,-49,0,50,1)),"")</f>
        <v/>
      </c>
    </row>
    <row r="566" customFormat="false" ht="15" hidden="false" customHeight="false" outlineLevel="0" collapsed="false">
      <c r="A566" s="17" t="n">
        <f aca="false">Cours_Bruts!A566</f>
        <v>45723</v>
      </c>
      <c r="B566" s="18" t="str">
        <f aca="false">Cours_Bruts!B566</f>
        <v>JPM</v>
      </c>
      <c r="C566" s="19" t="n">
        <f aca="false">Cours_Bruts!C566</f>
        <v>203.68</v>
      </c>
      <c r="D566" s="20" t="n">
        <f aca="false">IF(B566=B565,(C566-C565)/C565,"")</f>
        <v>0.000933706816059746</v>
      </c>
      <c r="E566" s="20" t="n">
        <f aca="false">IF(B566=B565,(1+E565)*(1+IF(D566="",0,D566))-1,0)</f>
        <v>0.0445128205128207</v>
      </c>
      <c r="F566" s="21" t="n">
        <f aca="false">IF(B566=B565,MAX(F565,C566),C566)</f>
        <v>203.68</v>
      </c>
      <c r="G566" s="20" t="n">
        <f aca="false">(C566-F566)/F566</f>
        <v>0</v>
      </c>
      <c r="H566" s="21" t="str">
        <f aca="true">IF(COUNTIFS($B$2:B566,B566)&gt;=20,AVERAGE(OFFSET(C566,-19,0,20,1)),"")</f>
        <v/>
      </c>
      <c r="I566" s="21" t="str">
        <f aca="true">IF(COUNTIFS($B$2:B566,B566)&gt;=50,AVERAGE(OFFSET(C566,-49,0,50,1)),"")</f>
        <v/>
      </c>
    </row>
    <row r="567" customFormat="false" ht="15" hidden="false" customHeight="false" outlineLevel="0" collapsed="false">
      <c r="A567" s="17" t="n">
        <f aca="false">Cours_Bruts!A567</f>
        <v>45726</v>
      </c>
      <c r="B567" s="18" t="str">
        <f aca="false">Cours_Bruts!B567</f>
        <v>JPM</v>
      </c>
      <c r="C567" s="19" t="n">
        <f aca="false">Cours_Bruts!C567</f>
        <v>203.78</v>
      </c>
      <c r="D567" s="20" t="n">
        <f aca="false">IF(B567=B566,(C567-C566)/C566,"")</f>
        <v>0.000490966221523931</v>
      </c>
      <c r="E567" s="20" t="n">
        <f aca="false">IF(B567=B566,(1+E566)*(1+IF(D567="",0,D567))-1,0)</f>
        <v>0.0450256410256413</v>
      </c>
      <c r="F567" s="21" t="n">
        <f aca="false">IF(B567=B566,MAX(F566,C567),C567)</f>
        <v>203.78</v>
      </c>
      <c r="G567" s="20" t="n">
        <f aca="false">(C567-F567)/F567</f>
        <v>0</v>
      </c>
      <c r="H567" s="21" t="str">
        <f aca="true">IF(COUNTIFS($B$2:B567,B567)&gt;=20,AVERAGE(OFFSET(C567,-19,0,20,1)),"")</f>
        <v/>
      </c>
      <c r="I567" s="21" t="str">
        <f aca="true">IF(COUNTIFS($B$2:B567,B567)&gt;=50,AVERAGE(OFFSET(C567,-49,0,50,1)),"")</f>
        <v/>
      </c>
    </row>
    <row r="568" customFormat="false" ht="15" hidden="false" customHeight="false" outlineLevel="0" collapsed="false">
      <c r="A568" s="17" t="n">
        <f aca="false">Cours_Bruts!A568</f>
        <v>45727</v>
      </c>
      <c r="B568" s="18" t="str">
        <f aca="false">Cours_Bruts!B568</f>
        <v>JPM</v>
      </c>
      <c r="C568" s="19" t="n">
        <f aca="false">Cours_Bruts!C568</f>
        <v>204.61</v>
      </c>
      <c r="D568" s="20" t="n">
        <f aca="false">IF(B568=B567,(C568-C567)/C567,"")</f>
        <v>0.00407301992344692</v>
      </c>
      <c r="E568" s="20" t="n">
        <f aca="false">IF(B568=B567,(1+E567)*(1+IF(D568="",0,D568))-1,0)</f>
        <v>0.0492820512820515</v>
      </c>
      <c r="F568" s="21" t="n">
        <f aca="false">IF(B568=B567,MAX(F567,C568),C568)</f>
        <v>204.61</v>
      </c>
      <c r="G568" s="20" t="n">
        <f aca="false">(C568-F568)/F568</f>
        <v>0</v>
      </c>
      <c r="H568" s="21" t="str">
        <f aca="true">IF(COUNTIFS($B$2:B568,B568)&gt;=20,AVERAGE(OFFSET(C568,-19,0,20,1)),"")</f>
        <v/>
      </c>
      <c r="I568" s="21" t="str">
        <f aca="true">IF(COUNTIFS($B$2:B568,B568)&gt;=50,AVERAGE(OFFSET(C568,-49,0,50,1)),"")</f>
        <v/>
      </c>
    </row>
    <row r="569" customFormat="false" ht="15" hidden="false" customHeight="false" outlineLevel="0" collapsed="false">
      <c r="A569" s="17" t="n">
        <f aca="false">Cours_Bruts!A569</f>
        <v>45728</v>
      </c>
      <c r="B569" s="18" t="str">
        <f aca="false">Cours_Bruts!B569</f>
        <v>JPM</v>
      </c>
      <c r="C569" s="19" t="n">
        <f aca="false">Cours_Bruts!C569</f>
        <v>206.76</v>
      </c>
      <c r="D569" s="20" t="n">
        <f aca="false">IF(B569=B568,(C569-C568)/C568,"")</f>
        <v>0.0105077953179218</v>
      </c>
      <c r="E569" s="20" t="n">
        <f aca="false">IF(B569=B568,(1+E568)*(1+IF(D569="",0,D569))-1,0)</f>
        <v>0.0603076923076924</v>
      </c>
      <c r="F569" s="21" t="n">
        <f aca="false">IF(B569=B568,MAX(F568,C569),C569)</f>
        <v>206.76</v>
      </c>
      <c r="G569" s="20" t="n">
        <f aca="false">(C569-F569)/F569</f>
        <v>0</v>
      </c>
      <c r="H569" s="21" t="str">
        <f aca="true">IF(COUNTIFS($B$2:B569,B569)&gt;=20,AVERAGE(OFFSET(C569,-19,0,20,1)),"")</f>
        <v/>
      </c>
      <c r="I569" s="21" t="str">
        <f aca="true">IF(COUNTIFS($B$2:B569,B569)&gt;=50,AVERAGE(OFFSET(C569,-49,0,50,1)),"")</f>
        <v/>
      </c>
    </row>
    <row r="570" customFormat="false" ht="15" hidden="false" customHeight="false" outlineLevel="0" collapsed="false">
      <c r="A570" s="17" t="n">
        <f aca="false">Cours_Bruts!A570</f>
        <v>45729</v>
      </c>
      <c r="B570" s="18" t="str">
        <f aca="false">Cours_Bruts!B570</f>
        <v>JPM</v>
      </c>
      <c r="C570" s="19" t="n">
        <f aca="false">Cours_Bruts!C570</f>
        <v>206.03</v>
      </c>
      <c r="D570" s="20" t="n">
        <f aca="false">IF(B570=B569,(C570-C569)/C569,"")</f>
        <v>-0.00353066357129034</v>
      </c>
      <c r="E570" s="20" t="n">
        <f aca="false">IF(B570=B569,(1+E569)*(1+IF(D570="",0,D570))-1,0)</f>
        <v>0.0565641025641028</v>
      </c>
      <c r="F570" s="21" t="n">
        <f aca="false">IF(B570=B569,MAX(F569,C570),C570)</f>
        <v>206.76</v>
      </c>
      <c r="G570" s="20" t="n">
        <f aca="false">(C570-F570)/F570</f>
        <v>-0.00353066357129034</v>
      </c>
      <c r="H570" s="21" t="str">
        <f aca="true">IF(COUNTIFS($B$2:B570,B570)&gt;=20,AVERAGE(OFFSET(C570,-19,0,20,1)),"")</f>
        <v/>
      </c>
      <c r="I570" s="21" t="str">
        <f aca="true">IF(COUNTIFS($B$2:B570,B570)&gt;=50,AVERAGE(OFFSET(C570,-49,0,50,1)),"")</f>
        <v/>
      </c>
    </row>
    <row r="571" customFormat="false" ht="15" hidden="false" customHeight="false" outlineLevel="0" collapsed="false">
      <c r="A571" s="17" t="n">
        <f aca="false">Cours_Bruts!A571</f>
        <v>45730</v>
      </c>
      <c r="B571" s="18" t="str">
        <f aca="false">Cours_Bruts!B571</f>
        <v>JPM</v>
      </c>
      <c r="C571" s="19" t="n">
        <f aca="false">Cours_Bruts!C571</f>
        <v>206.45</v>
      </c>
      <c r="D571" s="20" t="n">
        <f aca="false">IF(B571=B570,(C571-C570)/C570,"")</f>
        <v>0.00203853807697902</v>
      </c>
      <c r="E571" s="20" t="n">
        <f aca="false">IF(B571=B570,(1+E570)*(1+IF(D571="",0,D571))-1,0)</f>
        <v>0.0587179487179488</v>
      </c>
      <c r="F571" s="21" t="n">
        <f aca="false">IF(B571=B570,MAX(F570,C571),C571)</f>
        <v>206.76</v>
      </c>
      <c r="G571" s="20" t="n">
        <f aca="false">(C571-F571)/F571</f>
        <v>-0.00149932288643839</v>
      </c>
      <c r="H571" s="21" t="str">
        <f aca="true">IF(COUNTIFS($B$2:B571,B571)&gt;=20,AVERAGE(OFFSET(C571,-19,0,20,1)),"")</f>
        <v/>
      </c>
      <c r="I571" s="21" t="str">
        <f aca="true">IF(COUNTIFS($B$2:B571,B571)&gt;=50,AVERAGE(OFFSET(C571,-49,0,50,1)),"")</f>
        <v/>
      </c>
    </row>
    <row r="572" customFormat="false" ht="15" hidden="false" customHeight="false" outlineLevel="0" collapsed="false">
      <c r="A572" s="17" t="n">
        <f aca="false">Cours_Bruts!A572</f>
        <v>45733</v>
      </c>
      <c r="B572" s="18" t="str">
        <f aca="false">Cours_Bruts!B572</f>
        <v>JPM</v>
      </c>
      <c r="C572" s="19" t="n">
        <f aca="false">Cours_Bruts!C572</f>
        <v>205.63</v>
      </c>
      <c r="D572" s="20" t="n">
        <f aca="false">IF(B572=B571,(C572-C571)/C571,"")</f>
        <v>-0.00397190603051583</v>
      </c>
      <c r="E572" s="20" t="n">
        <f aca="false">IF(B572=B571,(1+E571)*(1+IF(D572="",0,D572))-1,0)</f>
        <v>0.0545128205128207</v>
      </c>
      <c r="F572" s="21" t="n">
        <f aca="false">IF(B572=B571,MAX(F571,C572),C572)</f>
        <v>206.76</v>
      </c>
      <c r="G572" s="20" t="n">
        <f aca="false">(C572-F572)/F572</f>
        <v>-0.00546527374733989</v>
      </c>
      <c r="H572" s="21" t="str">
        <f aca="true">IF(COUNTIFS($B$2:B572,B572)&gt;=20,AVERAGE(OFFSET(C572,-19,0,20,1)),"")</f>
        <v/>
      </c>
      <c r="I572" s="21" t="str">
        <f aca="true">IF(COUNTIFS($B$2:B572,B572)&gt;=50,AVERAGE(OFFSET(C572,-49,0,50,1)),"")</f>
        <v/>
      </c>
    </row>
    <row r="573" customFormat="false" ht="15" hidden="false" customHeight="false" outlineLevel="0" collapsed="false">
      <c r="A573" s="17" t="n">
        <f aca="false">Cours_Bruts!A573</f>
        <v>45734</v>
      </c>
      <c r="B573" s="18" t="str">
        <f aca="false">Cours_Bruts!B573</f>
        <v>JPM</v>
      </c>
      <c r="C573" s="19" t="n">
        <f aca="false">Cours_Bruts!C573</f>
        <v>206.04</v>
      </c>
      <c r="D573" s="20" t="n">
        <f aca="false">IF(B573=B572,(C573-C572)/C572,"")</f>
        <v>0.00199387248942273</v>
      </c>
      <c r="E573" s="20" t="n">
        <f aca="false">IF(B573=B572,(1+E572)*(1+IF(D573="",0,D573))-1,0)</f>
        <v>0.056615384615385</v>
      </c>
      <c r="F573" s="21" t="n">
        <f aca="false">IF(B573=B572,MAX(F572,C573),C573)</f>
        <v>206.76</v>
      </c>
      <c r="G573" s="20" t="n">
        <f aca="false">(C573-F573)/F573</f>
        <v>-0.00348229831688914</v>
      </c>
      <c r="H573" s="21" t="str">
        <f aca="true">IF(COUNTIFS($B$2:B573,B573)&gt;=20,AVERAGE(OFFSET(C573,-19,0,20,1)),"")</f>
        <v/>
      </c>
      <c r="I573" s="21" t="str">
        <f aca="true">IF(COUNTIFS($B$2:B573,B573)&gt;=50,AVERAGE(OFFSET(C573,-49,0,50,1)),"")</f>
        <v/>
      </c>
    </row>
    <row r="574" customFormat="false" ht="15" hidden="false" customHeight="false" outlineLevel="0" collapsed="false">
      <c r="A574" s="17" t="n">
        <f aca="false">Cours_Bruts!A574</f>
        <v>45735</v>
      </c>
      <c r="B574" s="18" t="str">
        <f aca="false">Cours_Bruts!B574</f>
        <v>JPM</v>
      </c>
      <c r="C574" s="19" t="n">
        <f aca="false">Cours_Bruts!C574</f>
        <v>202.54</v>
      </c>
      <c r="D574" s="20" t="n">
        <f aca="false">IF(B574=B573,(C574-C573)/C573,"")</f>
        <v>-0.0169869928169288</v>
      </c>
      <c r="E574" s="20" t="n">
        <f aca="false">IF(B574=B573,(1+E573)*(1+IF(D574="",0,D574))-1,0)</f>
        <v>0.0386666666666671</v>
      </c>
      <c r="F574" s="21" t="n">
        <f aca="false">IF(B574=B573,MAX(F573,C574),C574)</f>
        <v>206.76</v>
      </c>
      <c r="G574" s="20" t="n">
        <f aca="false">(C574-F574)/F574</f>
        <v>-0.0204101373573225</v>
      </c>
      <c r="H574" s="21" t="str">
        <f aca="true">IF(COUNTIFS($B$2:B574,B574)&gt;=20,AVERAGE(OFFSET(C574,-19,0,20,1)),"")</f>
        <v/>
      </c>
      <c r="I574" s="21" t="str">
        <f aca="true">IF(COUNTIFS($B$2:B574,B574)&gt;=50,AVERAGE(OFFSET(C574,-49,0,50,1)),"")</f>
        <v/>
      </c>
    </row>
    <row r="575" customFormat="false" ht="15" hidden="false" customHeight="false" outlineLevel="0" collapsed="false">
      <c r="A575" s="17" t="n">
        <f aca="false">Cours_Bruts!A575</f>
        <v>45736</v>
      </c>
      <c r="B575" s="18" t="str">
        <f aca="false">Cours_Bruts!B575</f>
        <v>JPM</v>
      </c>
      <c r="C575" s="19" t="n">
        <f aca="false">Cours_Bruts!C575</f>
        <v>209.93</v>
      </c>
      <c r="D575" s="20" t="n">
        <f aca="false">IF(B575=B574,(C575-C574)/C574,"")</f>
        <v>0.0364866199269281</v>
      </c>
      <c r="E575" s="20" t="n">
        <f aca="false">IF(B575=B574,(1+E574)*(1+IF(D575="",0,D575))-1,0)</f>
        <v>0.0765641025641031</v>
      </c>
      <c r="F575" s="21" t="n">
        <f aca="false">IF(B575=B574,MAX(F574,C575),C575)</f>
        <v>209.93</v>
      </c>
      <c r="G575" s="20" t="n">
        <f aca="false">(C575-F575)/F575</f>
        <v>0</v>
      </c>
      <c r="H575" s="21" t="str">
        <f aca="true">IF(COUNTIFS($B$2:B575,B575)&gt;=20,AVERAGE(OFFSET(C575,-19,0,20,1)),"")</f>
        <v/>
      </c>
      <c r="I575" s="21" t="str">
        <f aca="true">IF(COUNTIFS($B$2:B575,B575)&gt;=50,AVERAGE(OFFSET(C575,-49,0,50,1)),"")</f>
        <v/>
      </c>
    </row>
    <row r="576" customFormat="false" ht="15" hidden="false" customHeight="false" outlineLevel="0" collapsed="false">
      <c r="A576" s="17" t="n">
        <f aca="false">Cours_Bruts!A576</f>
        <v>45737</v>
      </c>
      <c r="B576" s="18" t="str">
        <f aca="false">Cours_Bruts!B576</f>
        <v>JPM</v>
      </c>
      <c r="C576" s="19" t="n">
        <f aca="false">Cours_Bruts!C576</f>
        <v>207.87</v>
      </c>
      <c r="D576" s="20" t="n">
        <f aca="false">IF(B576=B575,(C576-C575)/C575,"")</f>
        <v>-0.00981279474110419</v>
      </c>
      <c r="E576" s="20" t="n">
        <f aca="false">IF(B576=B575,(1+E575)*(1+IF(D576="",0,D576))-1,0)</f>
        <v>0.0660000000000005</v>
      </c>
      <c r="F576" s="21" t="n">
        <f aca="false">IF(B576=B575,MAX(F575,C576),C576)</f>
        <v>209.93</v>
      </c>
      <c r="G576" s="20" t="n">
        <f aca="false">(C576-F576)/F576</f>
        <v>-0.00981279474110419</v>
      </c>
      <c r="H576" s="21" t="str">
        <f aca="true">IF(COUNTIFS($B$2:B576,B576)&gt;=20,AVERAGE(OFFSET(C576,-19,0,20,1)),"")</f>
        <v/>
      </c>
      <c r="I576" s="21" t="str">
        <f aca="true">IF(COUNTIFS($B$2:B576,B576)&gt;=50,AVERAGE(OFFSET(C576,-49,0,50,1)),"")</f>
        <v/>
      </c>
    </row>
    <row r="577" customFormat="false" ht="15" hidden="false" customHeight="false" outlineLevel="0" collapsed="false">
      <c r="A577" s="17" t="n">
        <f aca="false">Cours_Bruts!A577</f>
        <v>45740</v>
      </c>
      <c r="B577" s="18" t="str">
        <f aca="false">Cours_Bruts!B577</f>
        <v>JPM</v>
      </c>
      <c r="C577" s="19" t="n">
        <f aca="false">Cours_Bruts!C577</f>
        <v>206.9</v>
      </c>
      <c r="D577" s="20" t="n">
        <f aca="false">IF(B577=B576,(C577-C576)/C576,"")</f>
        <v>-0.00466637802472699</v>
      </c>
      <c r="E577" s="20" t="n">
        <f aca="false">IF(B577=B576,(1+E576)*(1+IF(D577="",0,D577))-1,0)</f>
        <v>0.0610256410256416</v>
      </c>
      <c r="F577" s="21" t="n">
        <f aca="false">IF(B577=B576,MAX(F576,C577),C577)</f>
        <v>209.93</v>
      </c>
      <c r="G577" s="20" t="n">
        <f aca="false">(C577-F577)/F577</f>
        <v>-0.0144333825560901</v>
      </c>
      <c r="H577" s="21" t="str">
        <f aca="true">IF(COUNTIFS($B$2:B577,B577)&gt;=20,AVERAGE(OFFSET(C577,-19,0,20,1)),"")</f>
        <v/>
      </c>
      <c r="I577" s="21" t="str">
        <f aca="true">IF(COUNTIFS($B$2:B577,B577)&gt;=50,AVERAGE(OFFSET(C577,-49,0,50,1)),"")</f>
        <v/>
      </c>
    </row>
    <row r="578" customFormat="false" ht="15" hidden="false" customHeight="false" outlineLevel="0" collapsed="false">
      <c r="A578" s="17" t="n">
        <f aca="false">Cours_Bruts!A578</f>
        <v>45741</v>
      </c>
      <c r="B578" s="18" t="str">
        <f aca="false">Cours_Bruts!B578</f>
        <v>JPM</v>
      </c>
      <c r="C578" s="19" t="n">
        <f aca="false">Cours_Bruts!C578</f>
        <v>204.63</v>
      </c>
      <c r="D578" s="20" t="n">
        <f aca="false">IF(B578=B577,(C578-C577)/C577,"")</f>
        <v>-0.0109714838086032</v>
      </c>
      <c r="E578" s="20" t="n">
        <f aca="false">IF(B578=B577,(1+E577)*(1+IF(D578="",0,D578))-1,0)</f>
        <v>0.0493846153846158</v>
      </c>
      <c r="F578" s="21" t="n">
        <f aca="false">IF(B578=B577,MAX(F577,C578),C578)</f>
        <v>209.93</v>
      </c>
      <c r="G578" s="20" t="n">
        <f aca="false">(C578-F578)/F578</f>
        <v>-0.0252465107416759</v>
      </c>
      <c r="H578" s="21" t="str">
        <f aca="true">IF(COUNTIFS($B$2:B578,B578)&gt;=20,AVERAGE(OFFSET(C578,-19,0,20,1)),"")</f>
        <v/>
      </c>
      <c r="I578" s="21" t="str">
        <f aca="true">IF(COUNTIFS($B$2:B578,B578)&gt;=50,AVERAGE(OFFSET(C578,-49,0,50,1)),"")</f>
        <v/>
      </c>
    </row>
    <row r="579" customFormat="false" ht="15" hidden="false" customHeight="false" outlineLevel="0" collapsed="false">
      <c r="A579" s="17" t="n">
        <f aca="false">Cours_Bruts!A579</f>
        <v>45742</v>
      </c>
      <c r="B579" s="18" t="str">
        <f aca="false">Cours_Bruts!B579</f>
        <v>JPM</v>
      </c>
      <c r="C579" s="19" t="n">
        <f aca="false">Cours_Bruts!C579</f>
        <v>206.44</v>
      </c>
      <c r="D579" s="20" t="n">
        <f aca="false">IF(B579=B578,(C579-C578)/C578,"")</f>
        <v>0.00884523285930705</v>
      </c>
      <c r="E579" s="20" t="n">
        <f aca="false">IF(B579=B578,(1+E578)*(1+IF(D579="",0,D579))-1,0)</f>
        <v>0.0586666666666673</v>
      </c>
      <c r="F579" s="21" t="n">
        <f aca="false">IF(B579=B578,MAX(F578,C579),C579)</f>
        <v>209.93</v>
      </c>
      <c r="G579" s="20" t="n">
        <f aca="false">(C579-F579)/F579</f>
        <v>-0.0166245891487639</v>
      </c>
      <c r="H579" s="21" t="str">
        <f aca="true">IF(COUNTIFS($B$2:B579,B579)&gt;=20,AVERAGE(OFFSET(C579,-19,0,20,1)),"")</f>
        <v/>
      </c>
      <c r="I579" s="21" t="str">
        <f aca="true">IF(COUNTIFS($B$2:B579,B579)&gt;=50,AVERAGE(OFFSET(C579,-49,0,50,1)),"")</f>
        <v/>
      </c>
    </row>
    <row r="580" customFormat="false" ht="15" hidden="false" customHeight="false" outlineLevel="0" collapsed="false">
      <c r="A580" s="17" t="n">
        <f aca="false">Cours_Bruts!A580</f>
        <v>45743</v>
      </c>
      <c r="B580" s="18" t="str">
        <f aca="false">Cours_Bruts!B580</f>
        <v>JPM</v>
      </c>
      <c r="C580" s="19" t="n">
        <f aca="false">Cours_Bruts!C580</f>
        <v>205.96</v>
      </c>
      <c r="D580" s="20" t="n">
        <f aca="false">IF(B580=B579,(C580-C579)/C579,"")</f>
        <v>-0.00232513078860681</v>
      </c>
      <c r="E580" s="20" t="n">
        <f aca="false">IF(B580=B579,(1+E579)*(1+IF(D580="",0,D580))-1,0)</f>
        <v>0.0562051282051288</v>
      </c>
      <c r="F580" s="21" t="n">
        <f aca="false">IF(B580=B579,MAX(F579,C580),C580)</f>
        <v>209.93</v>
      </c>
      <c r="G580" s="20" t="n">
        <f aca="false">(C580-F580)/F580</f>
        <v>-0.018911065593293</v>
      </c>
      <c r="H580" s="21" t="str">
        <f aca="true">IF(COUNTIFS($B$2:B580,B580)&gt;=20,AVERAGE(OFFSET(C580,-19,0,20,1)),"")</f>
        <v/>
      </c>
      <c r="I580" s="21" t="str">
        <f aca="true">IF(COUNTIFS($B$2:B580,B580)&gt;=50,AVERAGE(OFFSET(C580,-49,0,50,1)),"")</f>
        <v/>
      </c>
    </row>
    <row r="581" customFormat="false" ht="15" hidden="false" customHeight="false" outlineLevel="0" collapsed="false">
      <c r="A581" s="17" t="n">
        <f aca="false">Cours_Bruts!A581</f>
        <v>45744</v>
      </c>
      <c r="B581" s="18" t="str">
        <f aca="false">Cours_Bruts!B581</f>
        <v>JPM</v>
      </c>
      <c r="C581" s="19" t="n">
        <f aca="false">Cours_Bruts!C581</f>
        <v>203.28</v>
      </c>
      <c r="D581" s="20" t="n">
        <f aca="false">IF(B581=B580,(C581-C580)/C580,"")</f>
        <v>-0.0130122353855118</v>
      </c>
      <c r="E581" s="20" t="n">
        <f aca="false">IF(B581=B580,(1+E580)*(1+IF(D581="",0,D581))-1,0)</f>
        <v>0.042461538461539</v>
      </c>
      <c r="F581" s="21" t="n">
        <f aca="false">IF(B581=B580,MAX(F580,C581),C581)</f>
        <v>209.93</v>
      </c>
      <c r="G581" s="20" t="n">
        <f aca="false">(C581-F581)/F581</f>
        <v>-0.031677225741914</v>
      </c>
      <c r="H581" s="21" t="n">
        <f aca="true">IF(COUNTIFS($B$2:B581,B581)&gt;=20,AVERAGE(OFFSET(C581,-19,0,20,1)),"")</f>
        <v>204.42</v>
      </c>
      <c r="I581" s="21" t="str">
        <f aca="true">IF(COUNTIFS($B$2:B581,B581)&gt;=50,AVERAGE(OFFSET(C581,-49,0,50,1)),"")</f>
        <v/>
      </c>
    </row>
    <row r="582" customFormat="false" ht="15" hidden="false" customHeight="false" outlineLevel="0" collapsed="false">
      <c r="A582" s="17" t="n">
        <f aca="false">Cours_Bruts!A582</f>
        <v>45747</v>
      </c>
      <c r="B582" s="18" t="str">
        <f aca="false">Cours_Bruts!B582</f>
        <v>JPM</v>
      </c>
      <c r="C582" s="19" t="n">
        <f aca="false">Cours_Bruts!C582</f>
        <v>205.2</v>
      </c>
      <c r="D582" s="20" t="n">
        <f aca="false">IF(B582=B581,(C582-C581)/C581,"")</f>
        <v>0.0094451003541912</v>
      </c>
      <c r="E582" s="20" t="n">
        <f aca="false">IF(B582=B581,(1+E581)*(1+IF(D582="",0,D582))-1,0)</f>
        <v>0.0523076923076926</v>
      </c>
      <c r="F582" s="21" t="n">
        <f aca="false">IF(B582=B581,MAX(F581,C582),C582)</f>
        <v>209.93</v>
      </c>
      <c r="G582" s="20" t="n">
        <f aca="false">(C582-F582)/F582</f>
        <v>-0.0225313199637975</v>
      </c>
      <c r="H582" s="21" t="n">
        <f aca="true">IF(COUNTIFS($B$2:B582,B582)&gt;=20,AVERAGE(OFFSET(C582,-19,0,20,1)),"")</f>
        <v>204.93</v>
      </c>
      <c r="I582" s="21" t="str">
        <f aca="true">IF(COUNTIFS($B$2:B582,B582)&gt;=50,AVERAGE(OFFSET(C582,-49,0,50,1)),"")</f>
        <v/>
      </c>
    </row>
    <row r="583" customFormat="false" ht="15" hidden="false" customHeight="false" outlineLevel="0" collapsed="false">
      <c r="A583" s="17" t="n">
        <f aca="false">Cours_Bruts!A583</f>
        <v>45748</v>
      </c>
      <c r="B583" s="18" t="str">
        <f aca="false">Cours_Bruts!B583</f>
        <v>JPM</v>
      </c>
      <c r="C583" s="19" t="n">
        <f aca="false">Cours_Bruts!C583</f>
        <v>207.53</v>
      </c>
      <c r="D583" s="20" t="n">
        <f aca="false">IF(B583=B582,(C583-C582)/C582,"")</f>
        <v>0.0113547758284601</v>
      </c>
      <c r="E583" s="20" t="n">
        <f aca="false">IF(B583=B582,(1+E582)*(1+IF(D583="",0,D583))-1,0)</f>
        <v>0.0642564102564105</v>
      </c>
      <c r="F583" s="21" t="n">
        <f aca="false">IF(B583=B582,MAX(F582,C583),C583)</f>
        <v>209.93</v>
      </c>
      <c r="G583" s="20" t="n">
        <f aca="false">(C583-F583)/F583</f>
        <v>-0.0114323822226457</v>
      </c>
      <c r="H583" s="21" t="n">
        <f aca="true">IF(COUNTIFS($B$2:B583,B583)&gt;=20,AVERAGE(OFFSET(C583,-19,0,20,1)),"")</f>
        <v>205.379</v>
      </c>
      <c r="I583" s="21" t="str">
        <f aca="true">IF(COUNTIFS($B$2:B583,B583)&gt;=50,AVERAGE(OFFSET(C583,-49,0,50,1)),"")</f>
        <v/>
      </c>
    </row>
    <row r="584" customFormat="false" ht="15" hidden="false" customHeight="false" outlineLevel="0" collapsed="false">
      <c r="A584" s="17" t="n">
        <f aca="false">Cours_Bruts!A584</f>
        <v>45749</v>
      </c>
      <c r="B584" s="18" t="str">
        <f aca="false">Cours_Bruts!B584</f>
        <v>JPM</v>
      </c>
      <c r="C584" s="19" t="n">
        <f aca="false">Cours_Bruts!C584</f>
        <v>207.41</v>
      </c>
      <c r="D584" s="20" t="n">
        <f aca="false">IF(B584=B583,(C584-C583)/C583,"")</f>
        <v>-0.000578229653544088</v>
      </c>
      <c r="E584" s="20" t="n">
        <f aca="false">IF(B584=B583,(1+E583)*(1+IF(D584="",0,D584))-1,0)</f>
        <v>0.0636410256410258</v>
      </c>
      <c r="F584" s="21" t="n">
        <f aca="false">IF(B584=B583,MAX(F583,C584),C584)</f>
        <v>209.93</v>
      </c>
      <c r="G584" s="20" t="n">
        <f aca="false">(C584-F584)/F584</f>
        <v>-0.012004001333778</v>
      </c>
      <c r="H584" s="21" t="n">
        <f aca="true">IF(COUNTIFS($B$2:B584,B584)&gt;=20,AVERAGE(OFFSET(C584,-19,0,20,1)),"")</f>
        <v>205.708</v>
      </c>
      <c r="I584" s="21" t="str">
        <f aca="true">IF(COUNTIFS($B$2:B584,B584)&gt;=50,AVERAGE(OFFSET(C584,-49,0,50,1)),"")</f>
        <v/>
      </c>
    </row>
    <row r="585" customFormat="false" ht="15" hidden="false" customHeight="false" outlineLevel="0" collapsed="false">
      <c r="A585" s="17" t="n">
        <f aca="false">Cours_Bruts!A585</f>
        <v>45750</v>
      </c>
      <c r="B585" s="18" t="str">
        <f aca="false">Cours_Bruts!B585</f>
        <v>JPM</v>
      </c>
      <c r="C585" s="19" t="n">
        <f aca="false">Cours_Bruts!C585</f>
        <v>205.58</v>
      </c>
      <c r="D585" s="20" t="n">
        <f aca="false">IF(B585=B584,(C585-C584)/C584,"")</f>
        <v>-0.00882310399691425</v>
      </c>
      <c r="E585" s="20" t="n">
        <f aca="false">IF(B585=B584,(1+E584)*(1+IF(D585="",0,D585))-1,0)</f>
        <v>0.0542564102564105</v>
      </c>
      <c r="F585" s="21" t="n">
        <f aca="false">IF(B585=B584,MAX(F584,C585),C585)</f>
        <v>209.93</v>
      </c>
      <c r="G585" s="20" t="n">
        <f aca="false">(C585-F585)/F585</f>
        <v>-0.0207211927785452</v>
      </c>
      <c r="H585" s="21" t="n">
        <f aca="true">IF(COUNTIFS($B$2:B585,B585)&gt;=20,AVERAGE(OFFSET(C585,-19,0,20,1)),"")</f>
        <v>205.8125</v>
      </c>
      <c r="I585" s="21" t="str">
        <f aca="true">IF(COUNTIFS($B$2:B585,B585)&gt;=50,AVERAGE(OFFSET(C585,-49,0,50,1)),"")</f>
        <v/>
      </c>
    </row>
    <row r="586" customFormat="false" ht="15" hidden="false" customHeight="false" outlineLevel="0" collapsed="false">
      <c r="A586" s="17" t="n">
        <f aca="false">Cours_Bruts!A586</f>
        <v>45751</v>
      </c>
      <c r="B586" s="18" t="str">
        <f aca="false">Cours_Bruts!B586</f>
        <v>JPM</v>
      </c>
      <c r="C586" s="19" t="n">
        <f aca="false">Cours_Bruts!C586</f>
        <v>211.89</v>
      </c>
      <c r="D586" s="20" t="n">
        <f aca="false">IF(B586=B585,(C586-C585)/C585,"")</f>
        <v>0.0306936472419495</v>
      </c>
      <c r="E586" s="20" t="n">
        <f aca="false">IF(B586=B585,(1+E585)*(1+IF(D586="",0,D586))-1,0)</f>
        <v>0.0866153846153848</v>
      </c>
      <c r="F586" s="21" t="n">
        <f aca="false">IF(B586=B585,MAX(F585,C586),C586)</f>
        <v>211.89</v>
      </c>
      <c r="G586" s="20" t="n">
        <f aca="false">(C586-F586)/F586</f>
        <v>0</v>
      </c>
      <c r="H586" s="21" t="n">
        <f aca="true">IF(COUNTIFS($B$2:B586,B586)&gt;=20,AVERAGE(OFFSET(C586,-19,0,20,1)),"")</f>
        <v>206.223</v>
      </c>
      <c r="I586" s="21" t="str">
        <f aca="true">IF(COUNTIFS($B$2:B586,B586)&gt;=50,AVERAGE(OFFSET(C586,-49,0,50,1)),"")</f>
        <v/>
      </c>
    </row>
    <row r="587" customFormat="false" ht="15" hidden="false" customHeight="false" outlineLevel="0" collapsed="false">
      <c r="A587" s="17" t="n">
        <f aca="false">Cours_Bruts!A587</f>
        <v>45754</v>
      </c>
      <c r="B587" s="18" t="str">
        <f aca="false">Cours_Bruts!B587</f>
        <v>JPM</v>
      </c>
      <c r="C587" s="19" t="n">
        <f aca="false">Cours_Bruts!C587</f>
        <v>212.97</v>
      </c>
      <c r="D587" s="20" t="n">
        <f aca="false">IF(B587=B586,(C587-C586)/C586,"")</f>
        <v>0.00509698428429852</v>
      </c>
      <c r="E587" s="20" t="n">
        <f aca="false">IF(B587=B586,(1+E586)*(1+IF(D587="",0,D587))-1,0)</f>
        <v>0.0921538461538463</v>
      </c>
      <c r="F587" s="21" t="n">
        <f aca="false">IF(B587=B586,MAX(F586,C587),C587)</f>
        <v>212.97</v>
      </c>
      <c r="G587" s="20" t="n">
        <f aca="false">(C587-F587)/F587</f>
        <v>0</v>
      </c>
      <c r="H587" s="21" t="n">
        <f aca="true">IF(COUNTIFS($B$2:B587,B587)&gt;=20,AVERAGE(OFFSET(C587,-19,0,20,1)),"")</f>
        <v>206.6825</v>
      </c>
      <c r="I587" s="21" t="str">
        <f aca="true">IF(COUNTIFS($B$2:B587,B587)&gt;=50,AVERAGE(OFFSET(C587,-49,0,50,1)),"")</f>
        <v/>
      </c>
    </row>
    <row r="588" customFormat="false" ht="15" hidden="false" customHeight="false" outlineLevel="0" collapsed="false">
      <c r="A588" s="17" t="n">
        <f aca="false">Cours_Bruts!A588</f>
        <v>45755</v>
      </c>
      <c r="B588" s="18" t="str">
        <f aca="false">Cours_Bruts!B588</f>
        <v>JPM</v>
      </c>
      <c r="C588" s="19" t="n">
        <f aca="false">Cours_Bruts!C588</f>
        <v>209.28</v>
      </c>
      <c r="D588" s="20" t="n">
        <f aca="false">IF(B588=B587,(C588-C587)/C587,"")</f>
        <v>-0.0173263839977462</v>
      </c>
      <c r="E588" s="20" t="n">
        <f aca="false">IF(B588=B587,(1+E587)*(1+IF(D588="",0,D588))-1,0)</f>
        <v>0.0732307692307694</v>
      </c>
      <c r="F588" s="21" t="n">
        <f aca="false">IF(B588=B587,MAX(F587,C588),C588)</f>
        <v>212.97</v>
      </c>
      <c r="G588" s="20" t="n">
        <f aca="false">(C588-F588)/F588</f>
        <v>-0.0173263839977462</v>
      </c>
      <c r="H588" s="21" t="n">
        <f aca="true">IF(COUNTIFS($B$2:B588,B588)&gt;=20,AVERAGE(OFFSET(C588,-19,0,20,1)),"")</f>
        <v>206.916</v>
      </c>
      <c r="I588" s="21" t="str">
        <f aca="true">IF(COUNTIFS($B$2:B588,B588)&gt;=50,AVERAGE(OFFSET(C588,-49,0,50,1)),"")</f>
        <v/>
      </c>
    </row>
    <row r="589" customFormat="false" ht="15" hidden="false" customHeight="false" outlineLevel="0" collapsed="false">
      <c r="A589" s="17" t="n">
        <f aca="false">Cours_Bruts!A589</f>
        <v>45756</v>
      </c>
      <c r="B589" s="18" t="str">
        <f aca="false">Cours_Bruts!B589</f>
        <v>JPM</v>
      </c>
      <c r="C589" s="19" t="n">
        <f aca="false">Cours_Bruts!C589</f>
        <v>213.46</v>
      </c>
      <c r="D589" s="20" t="n">
        <f aca="false">IF(B589=B588,(C589-C588)/C588,"")</f>
        <v>0.0199732415902141</v>
      </c>
      <c r="E589" s="20" t="n">
        <f aca="false">IF(B589=B588,(1+E588)*(1+IF(D589="",0,D589))-1,0)</f>
        <v>0.0946666666666669</v>
      </c>
      <c r="F589" s="21" t="n">
        <f aca="false">IF(B589=B588,MAX(F588,C589),C589)</f>
        <v>213.46</v>
      </c>
      <c r="G589" s="20" t="n">
        <f aca="false">(C589-F589)/F589</f>
        <v>0</v>
      </c>
      <c r="H589" s="21" t="n">
        <f aca="true">IF(COUNTIFS($B$2:B589,B589)&gt;=20,AVERAGE(OFFSET(C589,-19,0,20,1)),"")</f>
        <v>207.251</v>
      </c>
      <c r="I589" s="21" t="str">
        <f aca="true">IF(COUNTIFS($B$2:B589,B589)&gt;=50,AVERAGE(OFFSET(C589,-49,0,50,1)),"")</f>
        <v/>
      </c>
    </row>
    <row r="590" customFormat="false" ht="15" hidden="false" customHeight="false" outlineLevel="0" collapsed="false">
      <c r="A590" s="17" t="n">
        <f aca="false">Cours_Bruts!A590</f>
        <v>45757</v>
      </c>
      <c r="B590" s="18" t="str">
        <f aca="false">Cours_Bruts!B590</f>
        <v>JPM</v>
      </c>
      <c r="C590" s="19" t="n">
        <f aca="false">Cours_Bruts!C590</f>
        <v>211</v>
      </c>
      <c r="D590" s="20" t="n">
        <f aca="false">IF(B590=B589,(C590-C589)/C589,"")</f>
        <v>-0.0115244073831163</v>
      </c>
      <c r="E590" s="20" t="n">
        <f aca="false">IF(B590=B589,(1+E589)*(1+IF(D590="",0,D590))-1,0)</f>
        <v>0.0820512820512822</v>
      </c>
      <c r="F590" s="21" t="n">
        <f aca="false">IF(B590=B589,MAX(F589,C590),C590)</f>
        <v>213.46</v>
      </c>
      <c r="G590" s="20" t="n">
        <f aca="false">(C590-F590)/F590</f>
        <v>-0.0115244073831163</v>
      </c>
      <c r="H590" s="21" t="n">
        <f aca="true">IF(COUNTIFS($B$2:B590,B590)&gt;=20,AVERAGE(OFFSET(C590,-19,0,20,1)),"")</f>
        <v>207.4995</v>
      </c>
      <c r="I590" s="21" t="str">
        <f aca="true">IF(COUNTIFS($B$2:B590,B590)&gt;=50,AVERAGE(OFFSET(C590,-49,0,50,1)),"")</f>
        <v/>
      </c>
    </row>
    <row r="591" customFormat="false" ht="15" hidden="false" customHeight="false" outlineLevel="0" collapsed="false">
      <c r="A591" s="17" t="n">
        <f aca="false">Cours_Bruts!A591</f>
        <v>45758</v>
      </c>
      <c r="B591" s="18" t="str">
        <f aca="false">Cours_Bruts!B591</f>
        <v>JPM</v>
      </c>
      <c r="C591" s="19" t="n">
        <f aca="false">Cours_Bruts!C591</f>
        <v>219.1</v>
      </c>
      <c r="D591" s="20" t="n">
        <f aca="false">IF(B591=B590,(C591-C590)/C590,"")</f>
        <v>0.038388625592417</v>
      </c>
      <c r="E591" s="20" t="n">
        <f aca="false">IF(B591=B590,(1+E590)*(1+IF(D591="",0,D591))-1,0)</f>
        <v>0.123589743589744</v>
      </c>
      <c r="F591" s="21" t="n">
        <f aca="false">IF(B591=B590,MAX(F590,C591),C591)</f>
        <v>219.1</v>
      </c>
      <c r="G591" s="20" t="n">
        <f aca="false">(C591-F591)/F591</f>
        <v>0</v>
      </c>
      <c r="H591" s="21" t="n">
        <f aca="true">IF(COUNTIFS($B$2:B591,B591)&gt;=20,AVERAGE(OFFSET(C591,-19,0,20,1)),"")</f>
        <v>208.132</v>
      </c>
      <c r="I591" s="21" t="str">
        <f aca="true">IF(COUNTIFS($B$2:B591,B591)&gt;=50,AVERAGE(OFFSET(C591,-49,0,50,1)),"")</f>
        <v/>
      </c>
    </row>
    <row r="592" customFormat="false" ht="15" hidden="false" customHeight="false" outlineLevel="0" collapsed="false">
      <c r="A592" s="17" t="n">
        <f aca="false">Cours_Bruts!A592</f>
        <v>45761</v>
      </c>
      <c r="B592" s="18" t="str">
        <f aca="false">Cours_Bruts!B592</f>
        <v>JPM</v>
      </c>
      <c r="C592" s="19" t="n">
        <f aca="false">Cours_Bruts!C592</f>
        <v>219.42</v>
      </c>
      <c r="D592" s="20" t="n">
        <f aca="false">IF(B592=B591,(C592-C591)/C591,"")</f>
        <v>0.00146052031036053</v>
      </c>
      <c r="E592" s="20" t="n">
        <f aca="false">IF(B592=B591,(1+E591)*(1+IF(D592="",0,D592))-1,0)</f>
        <v>0.125230769230769</v>
      </c>
      <c r="F592" s="21" t="n">
        <f aca="false">IF(B592=B591,MAX(F591,C592),C592)</f>
        <v>219.42</v>
      </c>
      <c r="G592" s="20" t="n">
        <f aca="false">(C592-F592)/F592</f>
        <v>0</v>
      </c>
      <c r="H592" s="21" t="n">
        <f aca="true">IF(COUNTIFS($B$2:B592,B592)&gt;=20,AVERAGE(OFFSET(C592,-19,0,20,1)),"")</f>
        <v>208.8215</v>
      </c>
      <c r="I592" s="21" t="str">
        <f aca="true">IF(COUNTIFS($B$2:B592,B592)&gt;=50,AVERAGE(OFFSET(C592,-49,0,50,1)),"")</f>
        <v/>
      </c>
    </row>
    <row r="593" customFormat="false" ht="15" hidden="false" customHeight="false" outlineLevel="0" collapsed="false">
      <c r="A593" s="17" t="n">
        <f aca="false">Cours_Bruts!A593</f>
        <v>45762</v>
      </c>
      <c r="B593" s="18" t="str">
        <f aca="false">Cours_Bruts!B593</f>
        <v>JPM</v>
      </c>
      <c r="C593" s="19" t="n">
        <f aca="false">Cours_Bruts!C593</f>
        <v>222.58</v>
      </c>
      <c r="D593" s="20" t="n">
        <f aca="false">IF(B593=B592,(C593-C592)/C592,"")</f>
        <v>0.014401604229332</v>
      </c>
      <c r="E593" s="20" t="n">
        <f aca="false">IF(B593=B592,(1+E592)*(1+IF(D593="",0,D593))-1,0)</f>
        <v>0.141435897435898</v>
      </c>
      <c r="F593" s="21" t="n">
        <f aca="false">IF(B593=B592,MAX(F592,C593),C593)</f>
        <v>222.58</v>
      </c>
      <c r="G593" s="20" t="n">
        <f aca="false">(C593-F593)/F593</f>
        <v>0</v>
      </c>
      <c r="H593" s="21" t="n">
        <f aca="true">IF(COUNTIFS($B$2:B593,B593)&gt;=20,AVERAGE(OFFSET(C593,-19,0,20,1)),"")</f>
        <v>209.6485</v>
      </c>
      <c r="I593" s="21" t="str">
        <f aca="true">IF(COUNTIFS($B$2:B593,B593)&gt;=50,AVERAGE(OFFSET(C593,-49,0,50,1)),"")</f>
        <v/>
      </c>
    </row>
    <row r="594" customFormat="false" ht="15" hidden="false" customHeight="false" outlineLevel="0" collapsed="false">
      <c r="A594" s="17" t="n">
        <f aca="false">Cours_Bruts!A594</f>
        <v>45763</v>
      </c>
      <c r="B594" s="18" t="str">
        <f aca="false">Cours_Bruts!B594</f>
        <v>JPM</v>
      </c>
      <c r="C594" s="19" t="n">
        <f aca="false">Cours_Bruts!C594</f>
        <v>216.24</v>
      </c>
      <c r="D594" s="20" t="n">
        <f aca="false">IF(B594=B593,(C594-C593)/C593,"")</f>
        <v>-0.0284841405337407</v>
      </c>
      <c r="E594" s="20" t="n">
        <f aca="false">IF(B594=B593,(1+E593)*(1+IF(D594="",0,D594))-1,0)</f>
        <v>0.108923076923077</v>
      </c>
      <c r="F594" s="21" t="n">
        <f aca="false">IF(B594=B593,MAX(F593,C594),C594)</f>
        <v>222.58</v>
      </c>
      <c r="G594" s="20" t="n">
        <f aca="false">(C594-F594)/F594</f>
        <v>-0.0284841405337407</v>
      </c>
      <c r="H594" s="21" t="n">
        <f aca="true">IF(COUNTIFS($B$2:B594,B594)&gt;=20,AVERAGE(OFFSET(C594,-19,0,20,1)),"")</f>
        <v>210.3335</v>
      </c>
      <c r="I594" s="21" t="str">
        <f aca="true">IF(COUNTIFS($B$2:B594,B594)&gt;=50,AVERAGE(OFFSET(C594,-49,0,50,1)),"")</f>
        <v/>
      </c>
    </row>
    <row r="595" customFormat="false" ht="15" hidden="false" customHeight="false" outlineLevel="0" collapsed="false">
      <c r="A595" s="17" t="n">
        <f aca="false">Cours_Bruts!A595</f>
        <v>45764</v>
      </c>
      <c r="B595" s="18" t="str">
        <f aca="false">Cours_Bruts!B595</f>
        <v>JPM</v>
      </c>
      <c r="C595" s="19" t="n">
        <f aca="false">Cours_Bruts!C595</f>
        <v>212.47</v>
      </c>
      <c r="D595" s="20" t="n">
        <f aca="false">IF(B595=B594,(C595-C594)/C594,"")</f>
        <v>-0.0174343322234555</v>
      </c>
      <c r="E595" s="20" t="n">
        <f aca="false">IF(B595=B594,(1+E594)*(1+IF(D595="",0,D595))-1,0)</f>
        <v>0.0895897435897439</v>
      </c>
      <c r="F595" s="21" t="n">
        <f aca="false">IF(B595=B594,MAX(F594,C595),C595)</f>
        <v>222.58</v>
      </c>
      <c r="G595" s="20" t="n">
        <f aca="false">(C595-F595)/F595</f>
        <v>-0.0454218707880313</v>
      </c>
      <c r="H595" s="21" t="n">
        <f aca="true">IF(COUNTIFS($B$2:B595,B595)&gt;=20,AVERAGE(OFFSET(C595,-19,0,20,1)),"")</f>
        <v>210.4605</v>
      </c>
      <c r="I595" s="21" t="str">
        <f aca="true">IF(COUNTIFS($B$2:B595,B595)&gt;=50,AVERAGE(OFFSET(C595,-49,0,50,1)),"")</f>
        <v/>
      </c>
    </row>
    <row r="596" customFormat="false" ht="15" hidden="false" customHeight="false" outlineLevel="0" collapsed="false">
      <c r="A596" s="17" t="n">
        <f aca="false">Cours_Bruts!A596</f>
        <v>45765</v>
      </c>
      <c r="B596" s="18" t="str">
        <f aca="false">Cours_Bruts!B596</f>
        <v>JPM</v>
      </c>
      <c r="C596" s="19" t="n">
        <f aca="false">Cours_Bruts!C596</f>
        <v>216.47</v>
      </c>
      <c r="D596" s="20" t="n">
        <f aca="false">IF(B596=B595,(C596-C595)/C595,"")</f>
        <v>0.018826187226432</v>
      </c>
      <c r="E596" s="20" t="n">
        <f aca="false">IF(B596=B595,(1+E595)*(1+IF(D596="",0,D596))-1,0)</f>
        <v>0.110102564102564</v>
      </c>
      <c r="F596" s="21" t="n">
        <f aca="false">IF(B596=B595,MAX(F595,C596),C596)</f>
        <v>222.58</v>
      </c>
      <c r="G596" s="20" t="n">
        <f aca="false">(C596-F596)/F596</f>
        <v>-0.0274508042052296</v>
      </c>
      <c r="H596" s="21" t="n">
        <f aca="true">IF(COUNTIFS($B$2:B596,B596)&gt;=20,AVERAGE(OFFSET(C596,-19,0,20,1)),"")</f>
        <v>210.8905</v>
      </c>
      <c r="I596" s="21" t="str">
        <f aca="true">IF(COUNTIFS($B$2:B596,B596)&gt;=50,AVERAGE(OFFSET(C596,-49,0,50,1)),"")</f>
        <v/>
      </c>
    </row>
    <row r="597" customFormat="false" ht="15" hidden="false" customHeight="false" outlineLevel="0" collapsed="false">
      <c r="A597" s="17" t="n">
        <f aca="false">Cours_Bruts!A597</f>
        <v>45768</v>
      </c>
      <c r="B597" s="18" t="str">
        <f aca="false">Cours_Bruts!B597</f>
        <v>JPM</v>
      </c>
      <c r="C597" s="19" t="n">
        <f aca="false">Cours_Bruts!C597</f>
        <v>217.5</v>
      </c>
      <c r="D597" s="20" t="n">
        <f aca="false">IF(B597=B596,(C597-C596)/C596,"")</f>
        <v>0.00475816510370953</v>
      </c>
      <c r="E597" s="20" t="n">
        <f aca="false">IF(B597=B596,(1+E596)*(1+IF(D597="",0,D597))-1,0)</f>
        <v>0.115384615384616</v>
      </c>
      <c r="F597" s="21" t="n">
        <f aca="false">IF(B597=B596,MAX(F596,C597),C597)</f>
        <v>222.58</v>
      </c>
      <c r="G597" s="20" t="n">
        <f aca="false">(C597-F597)/F597</f>
        <v>-0.0228232545601582</v>
      </c>
      <c r="H597" s="21" t="n">
        <f aca="true">IF(COUNTIFS($B$2:B597,B597)&gt;=20,AVERAGE(OFFSET(C597,-19,0,20,1)),"")</f>
        <v>211.4205</v>
      </c>
      <c r="I597" s="21" t="str">
        <f aca="true">IF(COUNTIFS($B$2:B597,B597)&gt;=50,AVERAGE(OFFSET(C597,-49,0,50,1)),"")</f>
        <v/>
      </c>
    </row>
    <row r="598" customFormat="false" ht="15" hidden="false" customHeight="false" outlineLevel="0" collapsed="false">
      <c r="A598" s="17" t="n">
        <f aca="false">Cours_Bruts!A598</f>
        <v>45769</v>
      </c>
      <c r="B598" s="18" t="str">
        <f aca="false">Cours_Bruts!B598</f>
        <v>JPM</v>
      </c>
      <c r="C598" s="19" t="n">
        <f aca="false">Cours_Bruts!C598</f>
        <v>223.74</v>
      </c>
      <c r="D598" s="20" t="n">
        <f aca="false">IF(B598=B597,(C598-C597)/C597,"")</f>
        <v>0.0286896551724138</v>
      </c>
      <c r="E598" s="20" t="n">
        <f aca="false">IF(B598=B597,(1+E597)*(1+IF(D598="",0,D598))-1,0)</f>
        <v>0.147384615384616</v>
      </c>
      <c r="F598" s="21" t="n">
        <f aca="false">IF(B598=B597,MAX(F597,C598),C598)</f>
        <v>223.74</v>
      </c>
      <c r="G598" s="20" t="n">
        <f aca="false">(C598-F598)/F598</f>
        <v>0</v>
      </c>
      <c r="H598" s="21" t="n">
        <f aca="true">IF(COUNTIFS($B$2:B598,B598)&gt;=20,AVERAGE(OFFSET(C598,-19,0,20,1)),"")</f>
        <v>212.376</v>
      </c>
      <c r="I598" s="21" t="str">
        <f aca="true">IF(COUNTIFS($B$2:B598,B598)&gt;=50,AVERAGE(OFFSET(C598,-49,0,50,1)),"")</f>
        <v/>
      </c>
    </row>
    <row r="599" customFormat="false" ht="15" hidden="false" customHeight="false" outlineLevel="0" collapsed="false">
      <c r="A599" s="17" t="n">
        <f aca="false">Cours_Bruts!A599</f>
        <v>45770</v>
      </c>
      <c r="B599" s="18" t="str">
        <f aca="false">Cours_Bruts!B599</f>
        <v>JPM</v>
      </c>
      <c r="C599" s="19" t="n">
        <f aca="false">Cours_Bruts!C599</f>
        <v>225.32</v>
      </c>
      <c r="D599" s="20" t="n">
        <f aca="false">IF(B599=B598,(C599-C598)/C598,"")</f>
        <v>0.00706176812371496</v>
      </c>
      <c r="E599" s="20" t="n">
        <f aca="false">IF(B599=B598,(1+E598)*(1+IF(D599="",0,D599))-1,0)</f>
        <v>0.15548717948718</v>
      </c>
      <c r="F599" s="21" t="n">
        <f aca="false">IF(B599=B598,MAX(F598,C599),C599)</f>
        <v>225.32</v>
      </c>
      <c r="G599" s="20" t="n">
        <f aca="false">(C599-F599)/F599</f>
        <v>0</v>
      </c>
      <c r="H599" s="21" t="n">
        <f aca="true">IF(COUNTIFS($B$2:B599,B599)&gt;=20,AVERAGE(OFFSET(C599,-19,0,20,1)),"")</f>
        <v>213.32</v>
      </c>
      <c r="I599" s="21" t="str">
        <f aca="true">IF(COUNTIFS($B$2:B599,B599)&gt;=50,AVERAGE(OFFSET(C599,-49,0,50,1)),"")</f>
        <v/>
      </c>
    </row>
    <row r="600" customFormat="false" ht="15" hidden="false" customHeight="false" outlineLevel="0" collapsed="false">
      <c r="A600" s="17" t="n">
        <f aca="false">Cours_Bruts!A600</f>
        <v>45771</v>
      </c>
      <c r="B600" s="18" t="str">
        <f aca="false">Cours_Bruts!B600</f>
        <v>JPM</v>
      </c>
      <c r="C600" s="19" t="n">
        <f aca="false">Cours_Bruts!C600</f>
        <v>225.86</v>
      </c>
      <c r="D600" s="20" t="n">
        <f aca="false">IF(B600=B599,(C600-C599)/C599,"")</f>
        <v>0.00239659151429088</v>
      </c>
      <c r="E600" s="20" t="n">
        <f aca="false">IF(B600=B599,(1+E599)*(1+IF(D600="",0,D600))-1,0)</f>
        <v>0.158256410256411</v>
      </c>
      <c r="F600" s="21" t="n">
        <f aca="false">IF(B600=B599,MAX(F599,C600),C600)</f>
        <v>225.86</v>
      </c>
      <c r="G600" s="20" t="n">
        <f aca="false">(C600-F600)/F600</f>
        <v>0</v>
      </c>
      <c r="H600" s="21" t="n">
        <f aca="true">IF(COUNTIFS($B$2:B600,B600)&gt;=20,AVERAGE(OFFSET(C600,-19,0,20,1)),"")</f>
        <v>214.315</v>
      </c>
      <c r="I600" s="21" t="str">
        <f aca="true">IF(COUNTIFS($B$2:B600,B600)&gt;=50,AVERAGE(OFFSET(C600,-49,0,50,1)),"")</f>
        <v/>
      </c>
    </row>
    <row r="601" customFormat="false" ht="15" hidden="false" customHeight="false" outlineLevel="0" collapsed="false">
      <c r="A601" s="17" t="n">
        <f aca="false">Cours_Bruts!A601</f>
        <v>45772</v>
      </c>
      <c r="B601" s="18" t="str">
        <f aca="false">Cours_Bruts!B601</f>
        <v>JPM</v>
      </c>
      <c r="C601" s="19" t="n">
        <f aca="false">Cours_Bruts!C601</f>
        <v>231.3</v>
      </c>
      <c r="D601" s="20" t="n">
        <f aca="false">IF(B601=B600,(C601-C600)/C600,"")</f>
        <v>0.0240857168157265</v>
      </c>
      <c r="E601" s="20" t="n">
        <f aca="false">IF(B601=B600,(1+E600)*(1+IF(D601="",0,D601))-1,0)</f>
        <v>0.186153846153847</v>
      </c>
      <c r="F601" s="21" t="n">
        <f aca="false">IF(B601=B600,MAX(F600,C601),C601)</f>
        <v>231.3</v>
      </c>
      <c r="G601" s="20" t="n">
        <f aca="false">(C601-F601)/F601</f>
        <v>0</v>
      </c>
      <c r="H601" s="21" t="n">
        <f aca="true">IF(COUNTIFS($B$2:B601,B601)&gt;=20,AVERAGE(OFFSET(C601,-19,0,20,1)),"")</f>
        <v>215.716</v>
      </c>
      <c r="I601" s="21" t="str">
        <f aca="true">IF(COUNTIFS($B$2:B601,B601)&gt;=50,AVERAGE(OFFSET(C601,-49,0,50,1)),"")</f>
        <v/>
      </c>
    </row>
    <row r="602" customFormat="false" ht="15" hidden="false" customHeight="false" outlineLevel="0" collapsed="false">
      <c r="A602" s="17" t="n">
        <f aca="false">Cours_Bruts!A602</f>
        <v>45775</v>
      </c>
      <c r="B602" s="18" t="str">
        <f aca="false">Cours_Bruts!B602</f>
        <v>JPM</v>
      </c>
      <c r="C602" s="19" t="n">
        <f aca="false">Cours_Bruts!C602</f>
        <v>234.62</v>
      </c>
      <c r="D602" s="20" t="n">
        <f aca="false">IF(B602=B601,(C602-C601)/C601,"")</f>
        <v>0.0143536532641591</v>
      </c>
      <c r="E602" s="20" t="n">
        <f aca="false">IF(B602=B601,(1+E601)*(1+IF(D602="",0,D602))-1,0)</f>
        <v>0.203179487179488</v>
      </c>
      <c r="F602" s="21" t="n">
        <f aca="false">IF(B602=B601,MAX(F601,C602),C602)</f>
        <v>234.62</v>
      </c>
      <c r="G602" s="20" t="n">
        <f aca="false">(C602-F602)/F602</f>
        <v>0</v>
      </c>
      <c r="H602" s="21" t="n">
        <f aca="true">IF(COUNTIFS($B$2:B602,B602)&gt;=20,AVERAGE(OFFSET(C602,-19,0,20,1)),"")</f>
        <v>217.187</v>
      </c>
      <c r="I602" s="21" t="str">
        <f aca="true">IF(COUNTIFS($B$2:B602,B602)&gt;=50,AVERAGE(OFFSET(C602,-49,0,50,1)),"")</f>
        <v/>
      </c>
    </row>
    <row r="603" customFormat="false" ht="15" hidden="false" customHeight="false" outlineLevel="0" collapsed="false">
      <c r="A603" s="17" t="n">
        <f aca="false">Cours_Bruts!A603</f>
        <v>45776</v>
      </c>
      <c r="B603" s="18" t="str">
        <f aca="false">Cours_Bruts!B603</f>
        <v>JPM</v>
      </c>
      <c r="C603" s="19" t="n">
        <f aca="false">Cours_Bruts!C603</f>
        <v>234.07</v>
      </c>
      <c r="D603" s="20" t="n">
        <f aca="false">IF(B603=B602,(C603-C602)/C602,"")</f>
        <v>-0.0023442161793539</v>
      </c>
      <c r="E603" s="20" t="n">
        <f aca="false">IF(B603=B602,(1+E602)*(1+IF(D603="",0,D603))-1,0)</f>
        <v>0.200358974358975</v>
      </c>
      <c r="F603" s="21" t="n">
        <f aca="false">IF(B603=B602,MAX(F602,C603),C603)</f>
        <v>234.62</v>
      </c>
      <c r="G603" s="20" t="n">
        <f aca="false">(C603-F603)/F603</f>
        <v>-0.0023442161793539</v>
      </c>
      <c r="H603" s="21" t="n">
        <f aca="true">IF(COUNTIFS($B$2:B603,B603)&gt;=20,AVERAGE(OFFSET(C603,-19,0,20,1)),"")</f>
        <v>218.514</v>
      </c>
      <c r="I603" s="21" t="str">
        <f aca="true">IF(COUNTIFS($B$2:B603,B603)&gt;=50,AVERAGE(OFFSET(C603,-49,0,50,1)),"")</f>
        <v/>
      </c>
    </row>
    <row r="604" customFormat="false" ht="15" hidden="false" customHeight="false" outlineLevel="0" collapsed="false">
      <c r="A604" s="17" t="n">
        <f aca="false">Cours_Bruts!A604</f>
        <v>45777</v>
      </c>
      <c r="B604" s="18" t="str">
        <f aca="false">Cours_Bruts!B604</f>
        <v>JPM</v>
      </c>
      <c r="C604" s="19" t="n">
        <f aca="false">Cours_Bruts!C604</f>
        <v>230.6</v>
      </c>
      <c r="D604" s="20" t="n">
        <f aca="false">IF(B604=B603,(C604-C603)/C603,"")</f>
        <v>-0.0148246251121459</v>
      </c>
      <c r="E604" s="20" t="n">
        <f aca="false">IF(B604=B603,(1+E603)*(1+IF(D604="",0,D604))-1,0)</f>
        <v>0.182564102564103</v>
      </c>
      <c r="F604" s="21" t="n">
        <f aca="false">IF(B604=B603,MAX(F603,C604),C604)</f>
        <v>234.62</v>
      </c>
      <c r="G604" s="20" t="n">
        <f aca="false">(C604-F604)/F604</f>
        <v>-0.0171340891654591</v>
      </c>
      <c r="H604" s="21" t="n">
        <f aca="true">IF(COUNTIFS($B$2:B604,B604)&gt;=20,AVERAGE(OFFSET(C604,-19,0,20,1)),"")</f>
        <v>219.6735</v>
      </c>
      <c r="I604" s="21" t="str">
        <f aca="true">IF(COUNTIFS($B$2:B604,B604)&gt;=50,AVERAGE(OFFSET(C604,-49,0,50,1)),"")</f>
        <v/>
      </c>
    </row>
    <row r="605" customFormat="false" ht="15" hidden="false" customHeight="false" outlineLevel="0" collapsed="false">
      <c r="A605" s="17" t="n">
        <f aca="false">Cours_Bruts!A605</f>
        <v>45778</v>
      </c>
      <c r="B605" s="18" t="str">
        <f aca="false">Cours_Bruts!B605</f>
        <v>JPM</v>
      </c>
      <c r="C605" s="19" t="n">
        <f aca="false">Cours_Bruts!C605</f>
        <v>223.1</v>
      </c>
      <c r="D605" s="20" t="n">
        <f aca="false">IF(B605=B604,(C605-C604)/C604,"")</f>
        <v>-0.0325238508239376</v>
      </c>
      <c r="E605" s="20" t="n">
        <f aca="false">IF(B605=B604,(1+E604)*(1+IF(D605="",0,D605))-1,0)</f>
        <v>0.144102564102565</v>
      </c>
      <c r="F605" s="21" t="n">
        <f aca="false">IF(B605=B604,MAX(F604,C605),C605)</f>
        <v>234.62</v>
      </c>
      <c r="G605" s="20" t="n">
        <f aca="false">(C605-F605)/F605</f>
        <v>-0.0491006734293752</v>
      </c>
      <c r="H605" s="21" t="n">
        <f aca="true">IF(COUNTIFS($B$2:B605,B605)&gt;=20,AVERAGE(OFFSET(C605,-19,0,20,1)),"")</f>
        <v>220.5495</v>
      </c>
      <c r="I605" s="21" t="str">
        <f aca="true">IF(COUNTIFS($B$2:B605,B605)&gt;=50,AVERAGE(OFFSET(C605,-49,0,50,1)),"")</f>
        <v/>
      </c>
    </row>
    <row r="606" customFormat="false" ht="15" hidden="false" customHeight="false" outlineLevel="0" collapsed="false">
      <c r="A606" s="17" t="n">
        <f aca="false">Cours_Bruts!A606</f>
        <v>45779</v>
      </c>
      <c r="B606" s="18" t="str">
        <f aca="false">Cours_Bruts!B606</f>
        <v>JPM</v>
      </c>
      <c r="C606" s="19" t="n">
        <f aca="false">Cours_Bruts!C606</f>
        <v>221.83</v>
      </c>
      <c r="D606" s="20" t="n">
        <f aca="false">IF(B606=B605,(C606-C605)/C605,"")</f>
        <v>-0.00569251456745846</v>
      </c>
      <c r="E606" s="20" t="n">
        <f aca="false">IF(B606=B605,(1+E605)*(1+IF(D606="",0,D606))-1,0)</f>
        <v>0.137589743589744</v>
      </c>
      <c r="F606" s="21" t="n">
        <f aca="false">IF(B606=B605,MAX(F605,C606),C606)</f>
        <v>234.62</v>
      </c>
      <c r="G606" s="20" t="n">
        <f aca="false">(C606-F606)/F606</f>
        <v>-0.0545136816980649</v>
      </c>
      <c r="H606" s="21" t="n">
        <f aca="true">IF(COUNTIFS($B$2:B606,B606)&gt;=20,AVERAGE(OFFSET(C606,-19,0,20,1)),"")</f>
        <v>221.0465</v>
      </c>
      <c r="I606" s="21" t="str">
        <f aca="true">IF(COUNTIFS($B$2:B606,B606)&gt;=50,AVERAGE(OFFSET(C606,-49,0,50,1)),"")</f>
        <v/>
      </c>
    </row>
    <row r="607" customFormat="false" ht="15" hidden="false" customHeight="false" outlineLevel="0" collapsed="false">
      <c r="A607" s="17" t="n">
        <f aca="false">Cours_Bruts!A607</f>
        <v>45782</v>
      </c>
      <c r="B607" s="18" t="str">
        <f aca="false">Cours_Bruts!B607</f>
        <v>JPM</v>
      </c>
      <c r="C607" s="19" t="n">
        <f aca="false">Cours_Bruts!C607</f>
        <v>218.26</v>
      </c>
      <c r="D607" s="20" t="n">
        <f aca="false">IF(B607=B606,(C607-C606)/C606,"")</f>
        <v>-0.0160934048595773</v>
      </c>
      <c r="E607" s="20" t="n">
        <f aca="false">IF(B607=B606,(1+E606)*(1+IF(D607="",0,D607))-1,0)</f>
        <v>0.119282051282052</v>
      </c>
      <c r="F607" s="21" t="n">
        <f aca="false">IF(B607=B606,MAX(F606,C607),C607)</f>
        <v>234.62</v>
      </c>
      <c r="G607" s="20" t="n">
        <f aca="false">(C607-F607)/F607</f>
        <v>-0.0697297758076891</v>
      </c>
      <c r="H607" s="21" t="n">
        <f aca="true">IF(COUNTIFS($B$2:B607,B607)&gt;=20,AVERAGE(OFFSET(C607,-19,0,20,1)),"")</f>
        <v>221.311</v>
      </c>
      <c r="I607" s="21" t="str">
        <f aca="true">IF(COUNTIFS($B$2:B607,B607)&gt;=50,AVERAGE(OFFSET(C607,-49,0,50,1)),"")</f>
        <v/>
      </c>
    </row>
    <row r="608" customFormat="false" ht="15" hidden="false" customHeight="false" outlineLevel="0" collapsed="false">
      <c r="A608" s="17" t="n">
        <f aca="false">Cours_Bruts!A608</f>
        <v>45783</v>
      </c>
      <c r="B608" s="18" t="str">
        <f aca="false">Cours_Bruts!B608</f>
        <v>JPM</v>
      </c>
      <c r="C608" s="19" t="n">
        <f aca="false">Cours_Bruts!C608</f>
        <v>226.2</v>
      </c>
      <c r="D608" s="20" t="n">
        <f aca="false">IF(B608=B607,(C608-C607)/C607,"")</f>
        <v>0.0363786309905617</v>
      </c>
      <c r="E608" s="20" t="n">
        <f aca="false">IF(B608=B607,(1+E607)*(1+IF(D608="",0,D608))-1,0)</f>
        <v>0.16</v>
      </c>
      <c r="F608" s="21" t="n">
        <f aca="false">IF(B608=B607,MAX(F607,C608),C608)</f>
        <v>234.62</v>
      </c>
      <c r="G608" s="20" t="n">
        <f aca="false">(C608-F608)/F608</f>
        <v>-0.0358878186002899</v>
      </c>
      <c r="H608" s="21" t="n">
        <f aca="true">IF(COUNTIFS($B$2:B608,B608)&gt;=20,AVERAGE(OFFSET(C608,-19,0,20,1)),"")</f>
        <v>222.157</v>
      </c>
      <c r="I608" s="21" t="str">
        <f aca="true">IF(COUNTIFS($B$2:B608,B608)&gt;=50,AVERAGE(OFFSET(C608,-49,0,50,1)),"")</f>
        <v/>
      </c>
    </row>
    <row r="609" customFormat="false" ht="15" hidden="false" customHeight="false" outlineLevel="0" collapsed="false">
      <c r="A609" s="17" t="n">
        <f aca="false">Cours_Bruts!A609</f>
        <v>45784</v>
      </c>
      <c r="B609" s="18" t="str">
        <f aca="false">Cours_Bruts!B609</f>
        <v>JPM</v>
      </c>
      <c r="C609" s="19" t="n">
        <f aca="false">Cours_Bruts!C609</f>
        <v>224.24</v>
      </c>
      <c r="D609" s="20" t="n">
        <f aca="false">IF(B609=B608,(C609-C608)/C608,"")</f>
        <v>-0.00866489832007064</v>
      </c>
      <c r="E609" s="20" t="n">
        <f aca="false">IF(B609=B608,(1+E608)*(1+IF(D609="",0,D609))-1,0)</f>
        <v>0.149948717948718</v>
      </c>
      <c r="F609" s="21" t="n">
        <f aca="false">IF(B609=B608,MAX(F608,C609),C609)</f>
        <v>234.62</v>
      </c>
      <c r="G609" s="20" t="n">
        <f aca="false">(C609-F609)/F609</f>
        <v>-0.0442417526212599</v>
      </c>
      <c r="H609" s="21" t="n">
        <f aca="true">IF(COUNTIFS($B$2:B609,B609)&gt;=20,AVERAGE(OFFSET(C609,-19,0,20,1)),"")</f>
        <v>222.696</v>
      </c>
      <c r="I609" s="21" t="str">
        <f aca="true">IF(COUNTIFS($B$2:B609,B609)&gt;=50,AVERAGE(OFFSET(C609,-49,0,50,1)),"")</f>
        <v/>
      </c>
    </row>
    <row r="610" customFormat="false" ht="15" hidden="false" customHeight="false" outlineLevel="0" collapsed="false">
      <c r="A610" s="17" t="n">
        <f aca="false">Cours_Bruts!A610</f>
        <v>45785</v>
      </c>
      <c r="B610" s="18" t="str">
        <f aca="false">Cours_Bruts!B610</f>
        <v>JPM</v>
      </c>
      <c r="C610" s="19" t="n">
        <f aca="false">Cours_Bruts!C610</f>
        <v>222.21</v>
      </c>
      <c r="D610" s="20" t="n">
        <f aca="false">IF(B610=B609,(C610-C609)/C609,"")</f>
        <v>-0.00905280057081699</v>
      </c>
      <c r="E610" s="20" t="n">
        <f aca="false">IF(B610=B609,(1+E609)*(1+IF(D610="",0,D610))-1,0)</f>
        <v>0.139538461538462</v>
      </c>
      <c r="F610" s="21" t="n">
        <f aca="false">IF(B610=B609,MAX(F609,C610),C610)</f>
        <v>234.62</v>
      </c>
      <c r="G610" s="20" t="n">
        <f aca="false">(C610-F610)/F610</f>
        <v>-0.0528940414286932</v>
      </c>
      <c r="H610" s="21" t="n">
        <f aca="true">IF(COUNTIFS($B$2:B610,B610)&gt;=20,AVERAGE(OFFSET(C610,-19,0,20,1)),"")</f>
        <v>223.2565</v>
      </c>
      <c r="I610" s="21" t="str">
        <f aca="true">IF(COUNTIFS($B$2:B610,B610)&gt;=50,AVERAGE(OFFSET(C610,-49,0,50,1)),"")</f>
        <v/>
      </c>
    </row>
    <row r="611" customFormat="false" ht="15" hidden="false" customHeight="false" outlineLevel="0" collapsed="false">
      <c r="A611" s="17" t="n">
        <f aca="false">Cours_Bruts!A611</f>
        <v>45786</v>
      </c>
      <c r="B611" s="18" t="str">
        <f aca="false">Cours_Bruts!B611</f>
        <v>JPM</v>
      </c>
      <c r="C611" s="19" t="n">
        <f aca="false">Cours_Bruts!C611</f>
        <v>217.61</v>
      </c>
      <c r="D611" s="20" t="n">
        <f aca="false">IF(B611=B610,(C611-C610)/C610,"")</f>
        <v>-0.0207011385626209</v>
      </c>
      <c r="E611" s="20" t="n">
        <f aca="false">IF(B611=B610,(1+E610)*(1+IF(D611="",0,D611))-1,0)</f>
        <v>0.115948717948718</v>
      </c>
      <c r="F611" s="21" t="n">
        <f aca="false">IF(B611=B610,MAX(F610,C611),C611)</f>
        <v>234.62</v>
      </c>
      <c r="G611" s="20" t="n">
        <f aca="false">(C611-F611)/F611</f>
        <v>-0.0725002131105617</v>
      </c>
      <c r="H611" s="21" t="n">
        <f aca="true">IF(COUNTIFS($B$2:B611,B611)&gt;=20,AVERAGE(OFFSET(C611,-19,0,20,1)),"")</f>
        <v>223.182</v>
      </c>
      <c r="I611" s="21" t="n">
        <f aca="true">IF(COUNTIFS($B$2:B611,B611)&gt;=50,AVERAGE(OFFSET(C611,-49,0,50,1)),"")</f>
        <v>213.1092</v>
      </c>
    </row>
    <row r="612" customFormat="false" ht="15" hidden="false" customHeight="false" outlineLevel="0" collapsed="false">
      <c r="A612" s="17" t="n">
        <f aca="false">Cours_Bruts!A612</f>
        <v>45789</v>
      </c>
      <c r="B612" s="18" t="str">
        <f aca="false">Cours_Bruts!B612</f>
        <v>JPM</v>
      </c>
      <c r="C612" s="19" t="n">
        <f aca="false">Cours_Bruts!C612</f>
        <v>216.88</v>
      </c>
      <c r="D612" s="20" t="n">
        <f aca="false">IF(B612=B611,(C612-C611)/C611,"")</f>
        <v>-0.0033546252470016</v>
      </c>
      <c r="E612" s="20" t="n">
        <f aca="false">IF(B612=B611,(1+E611)*(1+IF(D612="",0,D612))-1,0)</f>
        <v>0.112205128205129</v>
      </c>
      <c r="F612" s="21" t="n">
        <f aca="false">IF(B612=B611,MAX(F611,C612),C612)</f>
        <v>234.62</v>
      </c>
      <c r="G612" s="20" t="n">
        <f aca="false">(C612-F612)/F612</f>
        <v>-0.0756116273122496</v>
      </c>
      <c r="H612" s="21" t="n">
        <f aca="true">IF(COUNTIFS($B$2:B612,B612)&gt;=20,AVERAGE(OFFSET(C612,-19,0,20,1)),"")</f>
        <v>223.055</v>
      </c>
      <c r="I612" s="21" t="n">
        <f aca="true">IF(COUNTIFS($B$2:B612,B612)&gt;=50,AVERAGE(OFFSET(C612,-49,0,50,1)),"")</f>
        <v>213.5468</v>
      </c>
    </row>
    <row r="613" customFormat="false" ht="15" hidden="false" customHeight="false" outlineLevel="0" collapsed="false">
      <c r="A613" s="17" t="n">
        <f aca="false">Cours_Bruts!A613</f>
        <v>45790</v>
      </c>
      <c r="B613" s="18" t="str">
        <f aca="false">Cours_Bruts!B613</f>
        <v>JPM</v>
      </c>
      <c r="C613" s="19" t="n">
        <f aca="false">Cours_Bruts!C613</f>
        <v>214.96</v>
      </c>
      <c r="D613" s="20" t="n">
        <f aca="false">IF(B613=B612,(C613-C612)/C612,"")</f>
        <v>-0.00885282183696047</v>
      </c>
      <c r="E613" s="20" t="n">
        <f aca="false">IF(B613=B612,(1+E612)*(1+IF(D613="",0,D613))-1,0)</f>
        <v>0.102358974358975</v>
      </c>
      <c r="F613" s="21" t="n">
        <f aca="false">IF(B613=B612,MAX(F612,C613),C613)</f>
        <v>234.62</v>
      </c>
      <c r="G613" s="20" t="n">
        <f aca="false">(C613-F613)/F613</f>
        <v>-0.0837950728838121</v>
      </c>
      <c r="H613" s="21" t="n">
        <f aca="true">IF(COUNTIFS($B$2:B613,B613)&gt;=20,AVERAGE(OFFSET(C613,-19,0,20,1)),"")</f>
        <v>222.674</v>
      </c>
      <c r="I613" s="21" t="n">
        <f aca="true">IF(COUNTIFS($B$2:B613,B613)&gt;=50,AVERAGE(OFFSET(C613,-49,0,50,1)),"")</f>
        <v>213.875</v>
      </c>
    </row>
    <row r="614" customFormat="false" ht="15" hidden="false" customHeight="false" outlineLevel="0" collapsed="false">
      <c r="A614" s="17" t="n">
        <f aca="false">Cours_Bruts!A614</f>
        <v>45791</v>
      </c>
      <c r="B614" s="18" t="str">
        <f aca="false">Cours_Bruts!B614</f>
        <v>JPM</v>
      </c>
      <c r="C614" s="19" t="n">
        <f aca="false">Cours_Bruts!C614</f>
        <v>220.22</v>
      </c>
      <c r="D614" s="20" t="n">
        <f aca="false">IF(B614=B613,(C614-C613)/C613,"")</f>
        <v>0.0244696687755861</v>
      </c>
      <c r="E614" s="20" t="n">
        <f aca="false">IF(B614=B613,(1+E613)*(1+IF(D614="",0,D614))-1,0)</f>
        <v>0.129333333333334</v>
      </c>
      <c r="F614" s="21" t="n">
        <f aca="false">IF(B614=B613,MAX(F613,C614),C614)</f>
        <v>234.62</v>
      </c>
      <c r="G614" s="20" t="n">
        <f aca="false">(C614-F614)/F614</f>
        <v>-0.061375841786719</v>
      </c>
      <c r="H614" s="21" t="n">
        <f aca="true">IF(COUNTIFS($B$2:B614,B614)&gt;=20,AVERAGE(OFFSET(C614,-19,0,20,1)),"")</f>
        <v>222.873</v>
      </c>
      <c r="I614" s="21" t="n">
        <f aca="true">IF(COUNTIFS($B$2:B614,B614)&gt;=50,AVERAGE(OFFSET(C614,-49,0,50,1)),"")</f>
        <v>214.2628</v>
      </c>
    </row>
    <row r="615" customFormat="false" ht="15" hidden="false" customHeight="false" outlineLevel="0" collapsed="false">
      <c r="A615" s="17" t="n">
        <f aca="false">Cours_Bruts!A615</f>
        <v>45792</v>
      </c>
      <c r="B615" s="18" t="str">
        <f aca="false">Cours_Bruts!B615</f>
        <v>JPM</v>
      </c>
      <c r="C615" s="19" t="n">
        <f aca="false">Cours_Bruts!C615</f>
        <v>220.81</v>
      </c>
      <c r="D615" s="20" t="n">
        <f aca="false">IF(B615=B614,(C615-C614)/C614,"")</f>
        <v>0.00267913904277542</v>
      </c>
      <c r="E615" s="20" t="n">
        <f aca="false">IF(B615=B614,(1+E614)*(1+IF(D615="",0,D615))-1,0)</f>
        <v>0.132358974358975</v>
      </c>
      <c r="F615" s="21" t="n">
        <f aca="false">IF(B615=B614,MAX(F614,C615),C615)</f>
        <v>234.62</v>
      </c>
      <c r="G615" s="20" t="n">
        <f aca="false">(C615-F615)/F615</f>
        <v>-0.0588611371579576</v>
      </c>
      <c r="H615" s="21" t="n">
        <f aca="true">IF(COUNTIFS($B$2:B615,B615)&gt;=20,AVERAGE(OFFSET(C615,-19,0,20,1)),"")</f>
        <v>223.29</v>
      </c>
      <c r="I615" s="21" t="n">
        <f aca="true">IF(COUNTIFS($B$2:B615,B615)&gt;=50,AVERAGE(OFFSET(C615,-49,0,50,1)),"")</f>
        <v>214.6092</v>
      </c>
    </row>
    <row r="616" customFormat="false" ht="15" hidden="false" customHeight="false" outlineLevel="0" collapsed="false">
      <c r="A616" s="17" t="n">
        <f aca="false">Cours_Bruts!A616</f>
        <v>45793</v>
      </c>
      <c r="B616" s="18" t="str">
        <f aca="false">Cours_Bruts!B616</f>
        <v>JPM</v>
      </c>
      <c r="C616" s="19" t="n">
        <f aca="false">Cours_Bruts!C616</f>
        <v>220.86</v>
      </c>
      <c r="D616" s="20" t="n">
        <f aca="false">IF(B616=B615,(C616-C615)/C615,"")</f>
        <v>0.000226439019971973</v>
      </c>
      <c r="E616" s="20" t="n">
        <f aca="false">IF(B616=B615,(1+E615)*(1+IF(D616="",0,D616))-1,0)</f>
        <v>0.132615384615385</v>
      </c>
      <c r="F616" s="21" t="n">
        <f aca="false">IF(B616=B615,MAX(F615,C616),C616)</f>
        <v>234.62</v>
      </c>
      <c r="G616" s="20" t="n">
        <f aca="false">(C616-F616)/F616</f>
        <v>-0.0586480265961981</v>
      </c>
      <c r="H616" s="21" t="n">
        <f aca="true">IF(COUNTIFS($B$2:B616,B616)&gt;=20,AVERAGE(OFFSET(C616,-19,0,20,1)),"")</f>
        <v>223.5095</v>
      </c>
      <c r="I616" s="21" t="n">
        <f aca="true">IF(COUNTIFS($B$2:B616,B616)&gt;=50,AVERAGE(OFFSET(C616,-49,0,50,1)),"")</f>
        <v>214.9528</v>
      </c>
    </row>
    <row r="617" customFormat="false" ht="15" hidden="false" customHeight="false" outlineLevel="0" collapsed="false">
      <c r="A617" s="17" t="n">
        <f aca="false">Cours_Bruts!A617</f>
        <v>45796</v>
      </c>
      <c r="B617" s="18" t="str">
        <f aca="false">Cours_Bruts!B617</f>
        <v>JPM</v>
      </c>
      <c r="C617" s="19" t="n">
        <f aca="false">Cours_Bruts!C617</f>
        <v>220.53</v>
      </c>
      <c r="D617" s="20" t="n">
        <f aca="false">IF(B617=B616,(C617-C616)/C616,"")</f>
        <v>-0.00149415919587074</v>
      </c>
      <c r="E617" s="20" t="n">
        <f aca="false">IF(B617=B616,(1+E616)*(1+IF(D617="",0,D617))-1,0)</f>
        <v>0.130923076923078</v>
      </c>
      <c r="F617" s="21" t="n">
        <f aca="false">IF(B617=B616,MAX(F616,C617),C617)</f>
        <v>234.62</v>
      </c>
      <c r="G617" s="20" t="n">
        <f aca="false">(C617-F617)/F617</f>
        <v>-0.0600545563038104</v>
      </c>
      <c r="H617" s="21" t="n">
        <f aca="true">IF(COUNTIFS($B$2:B617,B617)&gt;=20,AVERAGE(OFFSET(C617,-19,0,20,1)),"")</f>
        <v>223.661</v>
      </c>
      <c r="I617" s="21" t="n">
        <f aca="true">IF(COUNTIFS($B$2:B617,B617)&gt;=50,AVERAGE(OFFSET(C617,-49,0,50,1)),"")</f>
        <v>215.2878</v>
      </c>
    </row>
    <row r="618" customFormat="false" ht="15" hidden="false" customHeight="false" outlineLevel="0" collapsed="false">
      <c r="A618" s="17" t="n">
        <f aca="false">Cours_Bruts!A618</f>
        <v>45797</v>
      </c>
      <c r="B618" s="18" t="str">
        <f aca="false">Cours_Bruts!B618</f>
        <v>JPM</v>
      </c>
      <c r="C618" s="19" t="n">
        <f aca="false">Cours_Bruts!C618</f>
        <v>223.01</v>
      </c>
      <c r="D618" s="20" t="n">
        <f aca="false">IF(B618=B617,(C618-C617)/C617,"")</f>
        <v>0.0112456355144424</v>
      </c>
      <c r="E618" s="20" t="n">
        <f aca="false">IF(B618=B617,(1+E617)*(1+IF(D618="",0,D618))-1,0)</f>
        <v>0.143641025641026</v>
      </c>
      <c r="F618" s="21" t="n">
        <f aca="false">IF(B618=B617,MAX(F617,C618),C618)</f>
        <v>234.62</v>
      </c>
      <c r="G618" s="20" t="n">
        <f aca="false">(C618-F618)/F618</f>
        <v>-0.0494842724405422</v>
      </c>
      <c r="H618" s="21" t="n">
        <f aca="true">IF(COUNTIFS($B$2:B618,B618)&gt;=20,AVERAGE(OFFSET(C618,-19,0,20,1)),"")</f>
        <v>223.6245</v>
      </c>
      <c r="I618" s="21" t="n">
        <f aca="true">IF(COUNTIFS($B$2:B618,B618)&gt;=50,AVERAGE(OFFSET(C618,-49,0,50,1)),"")</f>
        <v>215.6558</v>
      </c>
    </row>
    <row r="619" customFormat="false" ht="15" hidden="false" customHeight="false" outlineLevel="0" collapsed="false">
      <c r="A619" s="17" t="n">
        <f aca="false">Cours_Bruts!A619</f>
        <v>45798</v>
      </c>
      <c r="B619" s="18" t="str">
        <f aca="false">Cours_Bruts!B619</f>
        <v>JPM</v>
      </c>
      <c r="C619" s="19" t="n">
        <f aca="false">Cours_Bruts!C619</f>
        <v>221.69</v>
      </c>
      <c r="D619" s="20" t="n">
        <f aca="false">IF(B619=B618,(C619-C618)/C618,"")</f>
        <v>-0.00591901708443565</v>
      </c>
      <c r="E619" s="20" t="n">
        <f aca="false">IF(B619=B618,(1+E618)*(1+IF(D619="",0,D619))-1,0)</f>
        <v>0.136871794871795</v>
      </c>
      <c r="F619" s="21" t="n">
        <f aca="false">IF(B619=B618,MAX(F618,C619),C619)</f>
        <v>234.62</v>
      </c>
      <c r="G619" s="20" t="n">
        <f aca="false">(C619-F619)/F619</f>
        <v>-0.0551103912709914</v>
      </c>
      <c r="H619" s="21" t="n">
        <f aca="true">IF(COUNTIFS($B$2:B619,B619)&gt;=20,AVERAGE(OFFSET(C619,-19,0,20,1)),"")</f>
        <v>223.443</v>
      </c>
      <c r="I619" s="21" t="n">
        <f aca="true">IF(COUNTIFS($B$2:B619,B619)&gt;=50,AVERAGE(OFFSET(C619,-49,0,50,1)),"")</f>
        <v>215.9544</v>
      </c>
    </row>
    <row r="620" customFormat="false" ht="15" hidden="false" customHeight="false" outlineLevel="0" collapsed="false">
      <c r="A620" s="17" t="n">
        <f aca="false">Cours_Bruts!A620</f>
        <v>45799</v>
      </c>
      <c r="B620" s="18" t="str">
        <f aca="false">Cours_Bruts!B620</f>
        <v>JPM</v>
      </c>
      <c r="C620" s="19" t="n">
        <f aca="false">Cours_Bruts!C620</f>
        <v>223.82</v>
      </c>
      <c r="D620" s="20" t="n">
        <f aca="false">IF(B620=B619,(C620-C619)/C619,"")</f>
        <v>0.00960801118679235</v>
      </c>
      <c r="E620" s="20" t="n">
        <f aca="false">IF(B620=B619,(1+E619)*(1+IF(D620="",0,D620))-1,0)</f>
        <v>0.147794871794873</v>
      </c>
      <c r="F620" s="21" t="n">
        <f aca="false">IF(B620=B619,MAX(F619,C620),C620)</f>
        <v>234.62</v>
      </c>
      <c r="G620" s="20" t="n">
        <f aca="false">(C620-F620)/F620</f>
        <v>-0.0460318813400393</v>
      </c>
      <c r="H620" s="21" t="n">
        <f aca="true">IF(COUNTIFS($B$2:B620,B620)&gt;=20,AVERAGE(OFFSET(C620,-19,0,20,1)),"")</f>
        <v>223.341</v>
      </c>
      <c r="I620" s="21" t="n">
        <f aca="true">IF(COUNTIFS($B$2:B620,B620)&gt;=50,AVERAGE(OFFSET(C620,-49,0,50,1)),"")</f>
        <v>216.3102</v>
      </c>
    </row>
    <row r="621" customFormat="false" ht="15" hidden="false" customHeight="false" outlineLevel="0" collapsed="false">
      <c r="A621" s="17" t="n">
        <f aca="false">Cours_Bruts!A621</f>
        <v>45800</v>
      </c>
      <c r="B621" s="18" t="str">
        <f aca="false">Cours_Bruts!B621</f>
        <v>JPM</v>
      </c>
      <c r="C621" s="19" t="n">
        <f aca="false">Cours_Bruts!C621</f>
        <v>228.91</v>
      </c>
      <c r="D621" s="20" t="n">
        <f aca="false">IF(B621=B620,(C621-C620)/C620,"")</f>
        <v>0.0227414886962738</v>
      </c>
      <c r="E621" s="20" t="n">
        <f aca="false">IF(B621=B620,(1+E620)*(1+IF(D621="",0,D621))-1,0)</f>
        <v>0.173897435897437</v>
      </c>
      <c r="F621" s="21" t="n">
        <f aca="false">IF(B621=B620,MAX(F620,C621),C621)</f>
        <v>234.62</v>
      </c>
      <c r="G621" s="20" t="n">
        <f aca="false">(C621-F621)/F621</f>
        <v>-0.0243372261529282</v>
      </c>
      <c r="H621" s="21" t="n">
        <f aca="true">IF(COUNTIFS($B$2:B621,B621)&gt;=20,AVERAGE(OFFSET(C621,-19,0,20,1)),"")</f>
        <v>223.2215</v>
      </c>
      <c r="I621" s="21" t="n">
        <f aca="true">IF(COUNTIFS($B$2:B621,B621)&gt;=50,AVERAGE(OFFSET(C621,-49,0,50,1)),"")</f>
        <v>216.7594</v>
      </c>
    </row>
    <row r="622" customFormat="false" ht="15" hidden="false" customHeight="false" outlineLevel="0" collapsed="false">
      <c r="A622" s="17" t="n">
        <f aca="false">Cours_Bruts!A622</f>
        <v>45803</v>
      </c>
      <c r="B622" s="18" t="str">
        <f aca="false">Cours_Bruts!B622</f>
        <v>JPM</v>
      </c>
      <c r="C622" s="19" t="n">
        <f aca="false">Cours_Bruts!C622</f>
        <v>230.45</v>
      </c>
      <c r="D622" s="20" t="n">
        <f aca="false">IF(B622=B621,(C622-C621)/C621,"")</f>
        <v>0.00672753483901967</v>
      </c>
      <c r="E622" s="20" t="n">
        <f aca="false">IF(B622=B621,(1+E621)*(1+IF(D622="",0,D622))-1,0)</f>
        <v>0.181794871794873</v>
      </c>
      <c r="F622" s="21" t="n">
        <f aca="false">IF(B622=B621,MAX(F621,C622),C622)</f>
        <v>234.62</v>
      </c>
      <c r="G622" s="20" t="n">
        <f aca="false">(C622-F622)/F622</f>
        <v>-0.0177734208507374</v>
      </c>
      <c r="H622" s="21" t="n">
        <f aca="true">IF(COUNTIFS($B$2:B622,B622)&gt;=20,AVERAGE(OFFSET(C622,-19,0,20,1)),"")</f>
        <v>223.013</v>
      </c>
      <c r="I622" s="21" t="n">
        <f aca="true">IF(COUNTIFS($B$2:B622,B622)&gt;=50,AVERAGE(OFFSET(C622,-49,0,50,1)),"")</f>
        <v>217.2558</v>
      </c>
    </row>
    <row r="623" customFormat="false" ht="15" hidden="false" customHeight="false" outlineLevel="0" collapsed="false">
      <c r="A623" s="17" t="n">
        <f aca="false">Cours_Bruts!A623</f>
        <v>45804</v>
      </c>
      <c r="B623" s="18" t="str">
        <f aca="false">Cours_Bruts!B623</f>
        <v>JPM</v>
      </c>
      <c r="C623" s="19" t="n">
        <f aca="false">Cours_Bruts!C623</f>
        <v>229.73</v>
      </c>
      <c r="D623" s="20" t="n">
        <f aca="false">IF(B623=B622,(C623-C622)/C622,"")</f>
        <v>-0.00312432197873725</v>
      </c>
      <c r="E623" s="20" t="n">
        <f aca="false">IF(B623=B622,(1+E622)*(1+IF(D623="",0,D623))-1,0)</f>
        <v>0.178102564102565</v>
      </c>
      <c r="F623" s="21" t="n">
        <f aca="false">IF(B623=B622,MAX(F622,C623),C623)</f>
        <v>234.62</v>
      </c>
      <c r="G623" s="20" t="n">
        <f aca="false">(C623-F623)/F623</f>
        <v>-0.0208422129400734</v>
      </c>
      <c r="H623" s="21" t="n">
        <f aca="true">IF(COUNTIFS($B$2:B623,B623)&gt;=20,AVERAGE(OFFSET(C623,-19,0,20,1)),"")</f>
        <v>222.796</v>
      </c>
      <c r="I623" s="21" t="n">
        <f aca="true">IF(COUNTIFS($B$2:B623,B623)&gt;=50,AVERAGE(OFFSET(C623,-49,0,50,1)),"")</f>
        <v>217.7296</v>
      </c>
    </row>
    <row r="624" customFormat="false" ht="15" hidden="false" customHeight="false" outlineLevel="0" collapsed="false">
      <c r="A624" s="17" t="n">
        <f aca="false">Cours_Bruts!A624</f>
        <v>45805</v>
      </c>
      <c r="B624" s="18" t="str">
        <f aca="false">Cours_Bruts!B624</f>
        <v>JPM</v>
      </c>
      <c r="C624" s="19" t="n">
        <f aca="false">Cours_Bruts!C624</f>
        <v>226.78</v>
      </c>
      <c r="D624" s="20" t="n">
        <f aca="false">IF(B624=B623,(C624-C623)/C623,"")</f>
        <v>-0.0128411613633395</v>
      </c>
      <c r="E624" s="20" t="n">
        <f aca="false">IF(B624=B623,(1+E623)*(1+IF(D624="",0,D624))-1,0)</f>
        <v>0.16297435897436</v>
      </c>
      <c r="F624" s="21" t="n">
        <f aca="false">IF(B624=B623,MAX(F623,C624),C624)</f>
        <v>234.62</v>
      </c>
      <c r="G624" s="20" t="n">
        <f aca="false">(C624-F624)/F624</f>
        <v>-0.0334157360838803</v>
      </c>
      <c r="H624" s="21" t="n">
        <f aca="true">IF(COUNTIFS($B$2:B624,B624)&gt;=20,AVERAGE(OFFSET(C624,-19,0,20,1)),"")</f>
        <v>222.605</v>
      </c>
      <c r="I624" s="21" t="n">
        <f aca="true">IF(COUNTIFS($B$2:B624,B624)&gt;=50,AVERAGE(OFFSET(C624,-49,0,50,1)),"")</f>
        <v>218.2144</v>
      </c>
    </row>
    <row r="625" customFormat="false" ht="15" hidden="false" customHeight="false" outlineLevel="0" collapsed="false">
      <c r="A625" s="17" t="n">
        <f aca="false">Cours_Bruts!A625</f>
        <v>45806</v>
      </c>
      <c r="B625" s="18" t="str">
        <f aca="false">Cours_Bruts!B625</f>
        <v>JPM</v>
      </c>
      <c r="C625" s="19" t="n">
        <f aca="false">Cours_Bruts!C625</f>
        <v>225.99</v>
      </c>
      <c r="D625" s="20" t="n">
        <f aca="false">IF(B625=B624,(C625-C624)/C624,"")</f>
        <v>-0.00348355234147629</v>
      </c>
      <c r="E625" s="20" t="n">
        <f aca="false">IF(B625=B624,(1+E624)*(1+IF(D625="",0,D625))-1,0)</f>
        <v>0.158923076923078</v>
      </c>
      <c r="F625" s="21" t="n">
        <f aca="false">IF(B625=B624,MAX(F624,C625),C625)</f>
        <v>234.62</v>
      </c>
      <c r="G625" s="20" t="n">
        <f aca="false">(C625-F625)/F625</f>
        <v>-0.0367828829596795</v>
      </c>
      <c r="H625" s="21" t="n">
        <f aca="true">IF(COUNTIFS($B$2:B625,B625)&gt;=20,AVERAGE(OFFSET(C625,-19,0,20,1)),"")</f>
        <v>222.7495</v>
      </c>
      <c r="I625" s="21" t="n">
        <f aca="true">IF(COUNTIFS($B$2:B625,B625)&gt;=50,AVERAGE(OFFSET(C625,-49,0,50,1)),"")</f>
        <v>218.5356</v>
      </c>
    </row>
    <row r="626" customFormat="false" ht="15" hidden="false" customHeight="false" outlineLevel="0" collapsed="false">
      <c r="A626" s="17" t="n">
        <f aca="false">Cours_Bruts!A626</f>
        <v>45807</v>
      </c>
      <c r="B626" s="18" t="str">
        <f aca="false">Cours_Bruts!B626</f>
        <v>JPM</v>
      </c>
      <c r="C626" s="19" t="n">
        <f aca="false">Cours_Bruts!C626</f>
        <v>227.84</v>
      </c>
      <c r="D626" s="20" t="n">
        <f aca="false">IF(B626=B625,(C626-C625)/C625,"")</f>
        <v>0.00818620292933313</v>
      </c>
      <c r="E626" s="20" t="n">
        <f aca="false">IF(B626=B625,(1+E625)*(1+IF(D626="",0,D626))-1,0)</f>
        <v>0.168410256410257</v>
      </c>
      <c r="F626" s="21" t="n">
        <f aca="false">IF(B626=B625,MAX(F625,C626),C626)</f>
        <v>234.62</v>
      </c>
      <c r="G626" s="20" t="n">
        <f aca="false">(C626-F626)/F626</f>
        <v>-0.0288977921745802</v>
      </c>
      <c r="H626" s="21" t="n">
        <f aca="true">IF(COUNTIFS($B$2:B626,B626)&gt;=20,AVERAGE(OFFSET(C626,-19,0,20,1)),"")</f>
        <v>223.05</v>
      </c>
      <c r="I626" s="21" t="n">
        <f aca="true">IF(COUNTIFS($B$2:B626,B626)&gt;=50,AVERAGE(OFFSET(C626,-49,0,50,1)),"")</f>
        <v>218.935</v>
      </c>
    </row>
    <row r="627" customFormat="false" ht="15" hidden="false" customHeight="false" outlineLevel="0" collapsed="false">
      <c r="A627" s="17" t="n">
        <f aca="false">Cours_Bruts!A627</f>
        <v>45810</v>
      </c>
      <c r="B627" s="18" t="str">
        <f aca="false">Cours_Bruts!B627</f>
        <v>JPM</v>
      </c>
      <c r="C627" s="19" t="n">
        <f aca="false">Cours_Bruts!C627</f>
        <v>223.08</v>
      </c>
      <c r="D627" s="20" t="n">
        <f aca="false">IF(B627=B626,(C627-C626)/C626,"")</f>
        <v>-0.0208918539325842</v>
      </c>
      <c r="E627" s="20" t="n">
        <f aca="false">IF(B627=B626,(1+E626)*(1+IF(D627="",0,D627))-1,0)</f>
        <v>0.144000000000001</v>
      </c>
      <c r="F627" s="21" t="n">
        <f aca="false">IF(B627=B626,MAX(F626,C627),C627)</f>
        <v>234.62</v>
      </c>
      <c r="G627" s="20" t="n">
        <f aca="false">(C627-F627)/F627</f>
        <v>-0.0491859176540789</v>
      </c>
      <c r="H627" s="21" t="n">
        <f aca="true">IF(COUNTIFS($B$2:B627,B627)&gt;=20,AVERAGE(OFFSET(C627,-19,0,20,1)),"")</f>
        <v>223.291</v>
      </c>
      <c r="I627" s="21" t="n">
        <f aca="true">IF(COUNTIFS($B$2:B627,B627)&gt;=50,AVERAGE(OFFSET(C627,-49,0,50,1)),"")</f>
        <v>219.2586</v>
      </c>
    </row>
    <row r="628" customFormat="false" ht="15" hidden="false" customHeight="false" outlineLevel="0" collapsed="false">
      <c r="A628" s="17" t="n">
        <f aca="false">Cours_Bruts!A628</f>
        <v>45811</v>
      </c>
      <c r="B628" s="18" t="str">
        <f aca="false">Cours_Bruts!B628</f>
        <v>JPM</v>
      </c>
      <c r="C628" s="19" t="n">
        <f aca="false">Cours_Bruts!C628</f>
        <v>225.73</v>
      </c>
      <c r="D628" s="20" t="n">
        <f aca="false">IF(B628=B627,(C628-C627)/C627,"")</f>
        <v>0.011879146494531</v>
      </c>
      <c r="E628" s="20" t="n">
        <f aca="false">IF(B628=B627,(1+E627)*(1+IF(D628="",0,D628))-1,0)</f>
        <v>0.157589743589744</v>
      </c>
      <c r="F628" s="21" t="n">
        <f aca="false">IF(B628=B627,MAX(F627,C628),C628)</f>
        <v>234.62</v>
      </c>
      <c r="G628" s="20" t="n">
        <f aca="false">(C628-F628)/F628</f>
        <v>-0.0378910578808286</v>
      </c>
      <c r="H628" s="21" t="n">
        <f aca="true">IF(COUNTIFS($B$2:B628,B628)&gt;=20,AVERAGE(OFFSET(C628,-19,0,20,1)),"")</f>
        <v>223.2675</v>
      </c>
      <c r="I628" s="21" t="n">
        <f aca="true">IF(COUNTIFS($B$2:B628,B628)&gt;=50,AVERAGE(OFFSET(C628,-49,0,50,1)),"")</f>
        <v>219.6806</v>
      </c>
    </row>
    <row r="629" customFormat="false" ht="15" hidden="false" customHeight="false" outlineLevel="0" collapsed="false">
      <c r="A629" s="17" t="n">
        <f aca="false">Cours_Bruts!A629</f>
        <v>45812</v>
      </c>
      <c r="B629" s="18" t="str">
        <f aca="false">Cours_Bruts!B629</f>
        <v>JPM</v>
      </c>
      <c r="C629" s="19" t="n">
        <f aca="false">Cours_Bruts!C629</f>
        <v>226.46</v>
      </c>
      <c r="D629" s="20" t="n">
        <f aca="false">IF(B629=B628,(C629-C628)/C628,"")</f>
        <v>0.00323395206662835</v>
      </c>
      <c r="E629" s="20" t="n">
        <f aca="false">IF(B629=B628,(1+E628)*(1+IF(D629="",0,D629))-1,0)</f>
        <v>0.161333333333334</v>
      </c>
      <c r="F629" s="21" t="n">
        <f aca="false">IF(B629=B628,MAX(F628,C629),C629)</f>
        <v>234.62</v>
      </c>
      <c r="G629" s="20" t="n">
        <f aca="false">(C629-F629)/F629</f>
        <v>-0.0347796436791407</v>
      </c>
      <c r="H629" s="21" t="n">
        <f aca="true">IF(COUNTIFS($B$2:B629,B629)&gt;=20,AVERAGE(OFFSET(C629,-19,0,20,1)),"")</f>
        <v>223.3785</v>
      </c>
      <c r="I629" s="21" t="n">
        <f aca="true">IF(COUNTIFS($B$2:B629,B629)&gt;=50,AVERAGE(OFFSET(C629,-49,0,50,1)),"")</f>
        <v>220.081</v>
      </c>
    </row>
    <row r="630" customFormat="false" ht="15" hidden="false" customHeight="false" outlineLevel="0" collapsed="false">
      <c r="A630" s="17" t="n">
        <f aca="false">Cours_Bruts!A630</f>
        <v>45813</v>
      </c>
      <c r="B630" s="18" t="str">
        <f aca="false">Cours_Bruts!B630</f>
        <v>JPM</v>
      </c>
      <c r="C630" s="19" t="n">
        <f aca="false">Cours_Bruts!C630</f>
        <v>226.07</v>
      </c>
      <c r="D630" s="20" t="n">
        <f aca="false">IF(B630=B629,(C630-C629)/C629,"")</f>
        <v>-0.00172215843857641</v>
      </c>
      <c r="E630" s="20" t="n">
        <f aca="false">IF(B630=B629,(1+E629)*(1+IF(D630="",0,D630))-1,0)</f>
        <v>0.159333333333334</v>
      </c>
      <c r="F630" s="21" t="n">
        <f aca="false">IF(B630=B629,MAX(F629,C630),C630)</f>
        <v>234.62</v>
      </c>
      <c r="G630" s="20" t="n">
        <f aca="false">(C630-F630)/F630</f>
        <v>-0.0364419060608644</v>
      </c>
      <c r="H630" s="21" t="n">
        <f aca="true">IF(COUNTIFS($B$2:B630,B630)&gt;=20,AVERAGE(OFFSET(C630,-19,0,20,1)),"")</f>
        <v>223.5715</v>
      </c>
      <c r="I630" s="21" t="n">
        <f aca="true">IF(COUNTIFS($B$2:B630,B630)&gt;=50,AVERAGE(OFFSET(C630,-49,0,50,1)),"")</f>
        <v>220.4832</v>
      </c>
    </row>
    <row r="631" customFormat="false" ht="15" hidden="false" customHeight="false" outlineLevel="0" collapsed="false">
      <c r="A631" s="17" t="n">
        <f aca="false">Cours_Bruts!A631</f>
        <v>45814</v>
      </c>
      <c r="B631" s="18" t="str">
        <f aca="false">Cours_Bruts!B631</f>
        <v>JPM</v>
      </c>
      <c r="C631" s="19" t="n">
        <f aca="false">Cours_Bruts!C631</f>
        <v>224.09</v>
      </c>
      <c r="D631" s="20" t="n">
        <f aca="false">IF(B631=B630,(C631-C630)/C630,"")</f>
        <v>-0.00875834918388105</v>
      </c>
      <c r="E631" s="20" t="n">
        <f aca="false">IF(B631=B630,(1+E630)*(1+IF(D631="",0,D631))-1,0)</f>
        <v>0.149179487179488</v>
      </c>
      <c r="F631" s="21" t="n">
        <f aca="false">IF(B631=B630,MAX(F630,C631),C631)</f>
        <v>234.62</v>
      </c>
      <c r="G631" s="20" t="n">
        <f aca="false">(C631-F631)/F631</f>
        <v>-0.0448810843065382</v>
      </c>
      <c r="H631" s="21" t="n">
        <f aca="true">IF(COUNTIFS($B$2:B631,B631)&gt;=20,AVERAGE(OFFSET(C631,-19,0,20,1)),"")</f>
        <v>223.8955</v>
      </c>
      <c r="I631" s="21" t="n">
        <f aca="true">IF(COUNTIFS($B$2:B631,B631)&gt;=50,AVERAGE(OFFSET(C631,-49,0,50,1)),"")</f>
        <v>220.8994</v>
      </c>
    </row>
    <row r="632" customFormat="false" ht="15" hidden="false" customHeight="false" outlineLevel="0" collapsed="false">
      <c r="A632" s="17" t="n">
        <f aca="false">Cours_Bruts!A632</f>
        <v>45817</v>
      </c>
      <c r="B632" s="18" t="str">
        <f aca="false">Cours_Bruts!B632</f>
        <v>JPM</v>
      </c>
      <c r="C632" s="19" t="n">
        <f aca="false">Cours_Bruts!C632</f>
        <v>222.69</v>
      </c>
      <c r="D632" s="20" t="n">
        <f aca="false">IF(B632=B631,(C632-C631)/C631,"")</f>
        <v>-0.00624748984782902</v>
      </c>
      <c r="E632" s="20" t="n">
        <f aca="false">IF(B632=B631,(1+E631)*(1+IF(D632="",0,D632))-1,0)</f>
        <v>0.142000000000001</v>
      </c>
      <c r="F632" s="21" t="n">
        <f aca="false">IF(B632=B631,MAX(F631,C632),C632)</f>
        <v>234.62</v>
      </c>
      <c r="G632" s="20" t="n">
        <f aca="false">(C632-F632)/F632</f>
        <v>-0.0508481800358026</v>
      </c>
      <c r="H632" s="21" t="n">
        <f aca="true">IF(COUNTIFS($B$2:B632,B632)&gt;=20,AVERAGE(OFFSET(C632,-19,0,20,1)),"")</f>
        <v>224.186</v>
      </c>
      <c r="I632" s="21" t="n">
        <f aca="true">IF(COUNTIFS($B$2:B632,B632)&gt;=50,AVERAGE(OFFSET(C632,-49,0,50,1)),"")</f>
        <v>221.2492</v>
      </c>
    </row>
    <row r="633" customFormat="false" ht="15" hidden="false" customHeight="false" outlineLevel="0" collapsed="false">
      <c r="A633" s="17" t="n">
        <f aca="false">Cours_Bruts!A633</f>
        <v>45818</v>
      </c>
      <c r="B633" s="18" t="str">
        <f aca="false">Cours_Bruts!B633</f>
        <v>JPM</v>
      </c>
      <c r="C633" s="19" t="n">
        <f aca="false">Cours_Bruts!C633</f>
        <v>224.61</v>
      </c>
      <c r="D633" s="20" t="n">
        <f aca="false">IF(B633=B632,(C633-C632)/C632,"")</f>
        <v>0.00862185100363742</v>
      </c>
      <c r="E633" s="20" t="n">
        <f aca="false">IF(B633=B632,(1+E632)*(1+IF(D633="",0,D633))-1,0)</f>
        <v>0.151846153846155</v>
      </c>
      <c r="F633" s="21" t="n">
        <f aca="false">IF(B633=B632,MAX(F632,C633),C633)</f>
        <v>234.62</v>
      </c>
      <c r="G633" s="20" t="n">
        <f aca="false">(C633-F633)/F633</f>
        <v>-0.04266473446424</v>
      </c>
      <c r="H633" s="21" t="n">
        <f aca="true">IF(COUNTIFS($B$2:B633,B633)&gt;=20,AVERAGE(OFFSET(C633,-19,0,20,1)),"")</f>
        <v>224.6685</v>
      </c>
      <c r="I633" s="21" t="n">
        <f aca="true">IF(COUNTIFS($B$2:B633,B633)&gt;=50,AVERAGE(OFFSET(C633,-49,0,50,1)),"")</f>
        <v>221.5908</v>
      </c>
    </row>
    <row r="634" customFormat="false" ht="15" hidden="false" customHeight="false" outlineLevel="0" collapsed="false">
      <c r="A634" s="17" t="n">
        <f aca="false">Cours_Bruts!A634</f>
        <v>45819</v>
      </c>
      <c r="B634" s="18" t="str">
        <f aca="false">Cours_Bruts!B634</f>
        <v>JPM</v>
      </c>
      <c r="C634" s="19" t="n">
        <f aca="false">Cours_Bruts!C634</f>
        <v>224.29</v>
      </c>
      <c r="D634" s="20" t="n">
        <f aca="false">IF(B634=B633,(C634-C633)/C633,"")</f>
        <v>-0.00142469168781453</v>
      </c>
      <c r="E634" s="20" t="n">
        <f aca="false">IF(B634=B633,(1+E633)*(1+IF(D634="",0,D634))-1,0)</f>
        <v>0.150205128205129</v>
      </c>
      <c r="F634" s="21" t="n">
        <f aca="false">IF(B634=B633,MAX(F633,C634),C634)</f>
        <v>234.62</v>
      </c>
      <c r="G634" s="20" t="n">
        <f aca="false">(C634-F634)/F634</f>
        <v>-0.0440286420595005</v>
      </c>
      <c r="H634" s="21" t="n">
        <f aca="true">IF(COUNTIFS($B$2:B634,B634)&gt;=20,AVERAGE(OFFSET(C634,-19,0,20,1)),"")</f>
        <v>224.872</v>
      </c>
      <c r="I634" s="21" t="n">
        <f aca="true">IF(COUNTIFS($B$2:B634,B634)&gt;=50,AVERAGE(OFFSET(C634,-49,0,50,1)),"")</f>
        <v>221.9284</v>
      </c>
    </row>
    <row r="635" customFormat="false" ht="15" hidden="false" customHeight="false" outlineLevel="0" collapsed="false">
      <c r="A635" s="17" t="n">
        <f aca="false">Cours_Bruts!A635</f>
        <v>45820</v>
      </c>
      <c r="B635" s="18" t="str">
        <f aca="false">Cours_Bruts!B635</f>
        <v>JPM</v>
      </c>
      <c r="C635" s="19" t="n">
        <f aca="false">Cours_Bruts!C635</f>
        <v>222.82</v>
      </c>
      <c r="D635" s="20" t="n">
        <f aca="false">IF(B635=B634,(C635-C634)/C634,"")</f>
        <v>-0.00655401489143519</v>
      </c>
      <c r="E635" s="20" t="n">
        <f aca="false">IF(B635=B634,(1+E634)*(1+IF(D635="",0,D635))-1,0)</f>
        <v>0.142666666666667</v>
      </c>
      <c r="F635" s="21" t="n">
        <f aca="false">IF(B635=B634,MAX(F634,C635),C635)</f>
        <v>234.62</v>
      </c>
      <c r="G635" s="20" t="n">
        <f aca="false">(C635-F635)/F635</f>
        <v>-0.0502940925752281</v>
      </c>
      <c r="H635" s="21" t="n">
        <f aca="true">IF(COUNTIFS($B$2:B635,B635)&gt;=20,AVERAGE(OFFSET(C635,-19,0,20,1)),"")</f>
        <v>224.9725</v>
      </c>
      <c r="I635" s="21" t="n">
        <f aca="true">IF(COUNTIFS($B$2:B635,B635)&gt;=50,AVERAGE(OFFSET(C635,-49,0,50,1)),"")</f>
        <v>222.2732</v>
      </c>
    </row>
    <row r="636" customFormat="false" ht="15" hidden="false" customHeight="false" outlineLevel="0" collapsed="false">
      <c r="A636" s="17" t="n">
        <f aca="false">Cours_Bruts!A636</f>
        <v>45821</v>
      </c>
      <c r="B636" s="18" t="str">
        <f aca="false">Cours_Bruts!B636</f>
        <v>JPM</v>
      </c>
      <c r="C636" s="19" t="n">
        <f aca="false">Cours_Bruts!C636</f>
        <v>224.34</v>
      </c>
      <c r="D636" s="20" t="n">
        <f aca="false">IF(B636=B635,(C636-C635)/C635,"")</f>
        <v>0.00682164976213989</v>
      </c>
      <c r="E636" s="20" t="n">
        <f aca="false">IF(B636=B635,(1+E635)*(1+IF(D636="",0,D636))-1,0)</f>
        <v>0.150461538461539</v>
      </c>
      <c r="F636" s="21" t="n">
        <f aca="false">IF(B636=B635,MAX(F635,C636),C636)</f>
        <v>234.62</v>
      </c>
      <c r="G636" s="20" t="n">
        <f aca="false">(C636-F636)/F636</f>
        <v>-0.043815531497741</v>
      </c>
      <c r="H636" s="21" t="n">
        <f aca="true">IF(COUNTIFS($B$2:B636,B636)&gt;=20,AVERAGE(OFFSET(C636,-19,0,20,1)),"")</f>
        <v>225.1465</v>
      </c>
      <c r="I636" s="21" t="n">
        <f aca="true">IF(COUNTIFS($B$2:B636,B636)&gt;=50,AVERAGE(OFFSET(C636,-49,0,50,1)),"")</f>
        <v>222.5222</v>
      </c>
    </row>
    <row r="637" customFormat="false" ht="15" hidden="false" customHeight="false" outlineLevel="0" collapsed="false">
      <c r="A637" s="17" t="n">
        <f aca="false">Cours_Bruts!A637</f>
        <v>45824</v>
      </c>
      <c r="B637" s="18" t="str">
        <f aca="false">Cours_Bruts!B637</f>
        <v>JPM</v>
      </c>
      <c r="C637" s="19" t="n">
        <f aca="false">Cours_Bruts!C637</f>
        <v>226</v>
      </c>
      <c r="D637" s="20" t="n">
        <f aca="false">IF(B637=B636,(C637-C636)/C636,"")</f>
        <v>0.00739948292769901</v>
      </c>
      <c r="E637" s="20" t="n">
        <f aca="false">IF(B637=B636,(1+E636)*(1+IF(D637="",0,D637))-1,0)</f>
        <v>0.15897435897436</v>
      </c>
      <c r="F637" s="21" t="n">
        <f aca="false">IF(B637=B636,MAX(F636,C637),C637)</f>
        <v>234.62</v>
      </c>
      <c r="G637" s="20" t="n">
        <f aca="false">(C637-F637)/F637</f>
        <v>-0.0367402608473276</v>
      </c>
      <c r="H637" s="21" t="n">
        <f aca="true">IF(COUNTIFS($B$2:B637,B637)&gt;=20,AVERAGE(OFFSET(C637,-19,0,20,1)),"")</f>
        <v>225.42</v>
      </c>
      <c r="I637" s="21" t="n">
        <f aca="true">IF(COUNTIFS($B$2:B637,B637)&gt;=50,AVERAGE(OFFSET(C637,-49,0,50,1)),"")</f>
        <v>222.7828</v>
      </c>
    </row>
    <row r="638" customFormat="false" ht="15" hidden="false" customHeight="false" outlineLevel="0" collapsed="false">
      <c r="A638" s="17" t="n">
        <f aca="false">Cours_Bruts!A638</f>
        <v>45825</v>
      </c>
      <c r="B638" s="18" t="str">
        <f aca="false">Cours_Bruts!B638</f>
        <v>JPM</v>
      </c>
      <c r="C638" s="19" t="n">
        <f aca="false">Cours_Bruts!C638</f>
        <v>222.17</v>
      </c>
      <c r="D638" s="20" t="n">
        <f aca="false">IF(B638=B637,(C638-C637)/C637,"")</f>
        <v>-0.0169469026548673</v>
      </c>
      <c r="E638" s="20" t="n">
        <f aca="false">IF(B638=B637,(1+E637)*(1+IF(D638="",0,D638))-1,0)</f>
        <v>0.139333333333334</v>
      </c>
      <c r="F638" s="21" t="n">
        <f aca="false">IF(B638=B637,MAX(F637,C638),C638)</f>
        <v>234.62</v>
      </c>
      <c r="G638" s="20" t="n">
        <f aca="false">(C638-F638)/F638</f>
        <v>-0.0530645298781008</v>
      </c>
      <c r="H638" s="21" t="n">
        <f aca="true">IF(COUNTIFS($B$2:B638,B638)&gt;=20,AVERAGE(OFFSET(C638,-19,0,20,1)),"")</f>
        <v>225.378</v>
      </c>
      <c r="I638" s="21" t="n">
        <f aca="true">IF(COUNTIFS($B$2:B638,B638)&gt;=50,AVERAGE(OFFSET(C638,-49,0,50,1)),"")</f>
        <v>223.0406</v>
      </c>
    </row>
    <row r="639" customFormat="false" ht="15" hidden="false" customHeight="false" outlineLevel="0" collapsed="false">
      <c r="A639" s="17" t="n">
        <f aca="false">Cours_Bruts!A639</f>
        <v>45826</v>
      </c>
      <c r="B639" s="18" t="str">
        <f aca="false">Cours_Bruts!B639</f>
        <v>JPM</v>
      </c>
      <c r="C639" s="19" t="n">
        <f aca="false">Cours_Bruts!C639</f>
        <v>224.01</v>
      </c>
      <c r="D639" s="20" t="n">
        <f aca="false">IF(B639=B638,(C639-C638)/C638,"")</f>
        <v>0.0082819462573705</v>
      </c>
      <c r="E639" s="20" t="n">
        <f aca="false">IF(B639=B638,(1+E638)*(1+IF(D639="",0,D639))-1,0)</f>
        <v>0.148769230769231</v>
      </c>
      <c r="F639" s="21" t="n">
        <f aca="false">IF(B639=B638,MAX(F638,C639),C639)</f>
        <v>234.62</v>
      </c>
      <c r="G639" s="20" t="n">
        <f aca="false">(C639-F639)/F639</f>
        <v>-0.0452220612053534</v>
      </c>
      <c r="H639" s="21" t="n">
        <f aca="true">IF(COUNTIFS($B$2:B639,B639)&gt;=20,AVERAGE(OFFSET(C639,-19,0,20,1)),"")</f>
        <v>225.494</v>
      </c>
      <c r="I639" s="21" t="n">
        <f aca="true">IF(COUNTIFS($B$2:B639,B639)&gt;=50,AVERAGE(OFFSET(C639,-49,0,50,1)),"")</f>
        <v>223.2516</v>
      </c>
    </row>
    <row r="640" customFormat="false" ht="15" hidden="false" customHeight="false" outlineLevel="0" collapsed="false">
      <c r="A640" s="17" t="n">
        <f aca="false">Cours_Bruts!A640</f>
        <v>45827</v>
      </c>
      <c r="B640" s="18" t="str">
        <f aca="false">Cours_Bruts!B640</f>
        <v>JPM</v>
      </c>
      <c r="C640" s="19" t="n">
        <f aca="false">Cours_Bruts!C640</f>
        <v>231.86</v>
      </c>
      <c r="D640" s="20" t="n">
        <f aca="false">IF(B640=B639,(C640-C639)/C639,"")</f>
        <v>0.0350430784339986</v>
      </c>
      <c r="E640" s="20" t="n">
        <f aca="false">IF(B640=B639,(1+E639)*(1+IF(D640="",0,D640))-1,0)</f>
        <v>0.189025641025642</v>
      </c>
      <c r="F640" s="21" t="n">
        <f aca="false">IF(B640=B639,MAX(F639,C640),C640)</f>
        <v>234.62</v>
      </c>
      <c r="G640" s="20" t="n">
        <f aca="false">(C640-F640)/F640</f>
        <v>-0.0117637030091211</v>
      </c>
      <c r="H640" s="21" t="n">
        <f aca="true">IF(COUNTIFS($B$2:B640,B640)&gt;=20,AVERAGE(OFFSET(C640,-19,0,20,1)),"")</f>
        <v>225.896</v>
      </c>
      <c r="I640" s="21" t="n">
        <f aca="true">IF(COUNTIFS($B$2:B640,B640)&gt;=50,AVERAGE(OFFSET(C640,-49,0,50,1)),"")</f>
        <v>223.6688</v>
      </c>
    </row>
    <row r="641" customFormat="false" ht="15" hidden="false" customHeight="false" outlineLevel="0" collapsed="false">
      <c r="A641" s="17" t="n">
        <f aca="false">Cours_Bruts!A641</f>
        <v>45828</v>
      </c>
      <c r="B641" s="18" t="str">
        <f aca="false">Cours_Bruts!B641</f>
        <v>JPM</v>
      </c>
      <c r="C641" s="19" t="n">
        <f aca="false">Cours_Bruts!C641</f>
        <v>233.45</v>
      </c>
      <c r="D641" s="20" t="n">
        <f aca="false">IF(B641=B640,(C641-C640)/C640,"")</f>
        <v>0.00685758647459663</v>
      </c>
      <c r="E641" s="20" t="n">
        <f aca="false">IF(B641=B640,(1+E640)*(1+IF(D641="",0,D641))-1,0)</f>
        <v>0.197179487179488</v>
      </c>
      <c r="F641" s="21" t="n">
        <f aca="false">IF(B641=B640,MAX(F640,C641),C641)</f>
        <v>234.62</v>
      </c>
      <c r="G641" s="20" t="n">
        <f aca="false">(C641-F641)/F641</f>
        <v>-0.00498678714517098</v>
      </c>
      <c r="H641" s="21" t="n">
        <f aca="true">IF(COUNTIFS($B$2:B641,B641)&gt;=20,AVERAGE(OFFSET(C641,-19,0,20,1)),"")</f>
        <v>226.123</v>
      </c>
      <c r="I641" s="21" t="n">
        <f aca="true">IF(COUNTIFS($B$2:B641,B641)&gt;=50,AVERAGE(OFFSET(C641,-49,0,50,1)),"")</f>
        <v>223.9558</v>
      </c>
    </row>
    <row r="642" customFormat="false" ht="15" hidden="false" customHeight="false" outlineLevel="0" collapsed="false">
      <c r="A642" s="17" t="n">
        <f aca="false">Cours_Bruts!A642</f>
        <v>45719</v>
      </c>
      <c r="B642" s="18" t="str">
        <f aca="false">Cours_Bruts!B642</f>
        <v>MC</v>
      </c>
      <c r="C642" s="19" t="n">
        <f aca="false">Cours_Bruts!C642</f>
        <v>700</v>
      </c>
      <c r="D642" s="20" t="str">
        <f aca="false">IF(B642=B641,(C642-C641)/C641,"")</f>
        <v/>
      </c>
      <c r="E642" s="20" t="n">
        <f aca="false">IF(B642=B641,(1+E641)*(1+IF(D642="",0,D642))-1,0)</f>
        <v>0</v>
      </c>
      <c r="F642" s="21" t="n">
        <f aca="false">IF(B642=B641,MAX(F641,C642),C642)</f>
        <v>700</v>
      </c>
      <c r="G642" s="20" t="n">
        <f aca="false">(C642-F642)/F642</f>
        <v>0</v>
      </c>
      <c r="H642" s="21" t="str">
        <f aca="true">IF(COUNTIFS($B$2:B642,B642)&gt;=20,AVERAGE(OFFSET(C642,-19,0,20,1)),"")</f>
        <v/>
      </c>
      <c r="I642" s="21" t="str">
        <f aca="true">IF(COUNTIFS($B$2:B642,B642)&gt;=50,AVERAGE(OFFSET(C642,-49,0,50,1)),"")</f>
        <v/>
      </c>
    </row>
    <row r="643" customFormat="false" ht="15" hidden="false" customHeight="false" outlineLevel="0" collapsed="false">
      <c r="A643" s="17" t="n">
        <f aca="false">Cours_Bruts!A643</f>
        <v>45720</v>
      </c>
      <c r="B643" s="18" t="str">
        <f aca="false">Cours_Bruts!B643</f>
        <v>MC</v>
      </c>
      <c r="C643" s="19" t="n">
        <f aca="false">Cours_Bruts!C643</f>
        <v>697.32</v>
      </c>
      <c r="D643" s="20" t="n">
        <f aca="false">IF(B643=B642,(C643-C642)/C642,"")</f>
        <v>-0.00382857142857136</v>
      </c>
      <c r="E643" s="20" t="n">
        <f aca="false">IF(B643=B642,(1+E642)*(1+IF(D643="",0,D643))-1,0)</f>
        <v>-0.0038285714285714</v>
      </c>
      <c r="F643" s="21" t="n">
        <f aca="false">IF(B643=B642,MAX(F642,C643),C643)</f>
        <v>700</v>
      </c>
      <c r="G643" s="20" t="n">
        <f aca="false">(C643-F643)/F643</f>
        <v>-0.00382857142857136</v>
      </c>
      <c r="H643" s="21" t="str">
        <f aca="true">IF(COUNTIFS($B$2:B643,B643)&gt;=20,AVERAGE(OFFSET(C643,-19,0,20,1)),"")</f>
        <v/>
      </c>
      <c r="I643" s="21" t="str">
        <f aca="true">IF(COUNTIFS($B$2:B643,B643)&gt;=50,AVERAGE(OFFSET(C643,-49,0,50,1)),"")</f>
        <v/>
      </c>
    </row>
    <row r="644" customFormat="false" ht="15" hidden="false" customHeight="false" outlineLevel="0" collapsed="false">
      <c r="A644" s="17" t="n">
        <f aca="false">Cours_Bruts!A644</f>
        <v>45721</v>
      </c>
      <c r="B644" s="18" t="str">
        <f aca="false">Cours_Bruts!B644</f>
        <v>MC</v>
      </c>
      <c r="C644" s="19" t="n">
        <f aca="false">Cours_Bruts!C644</f>
        <v>684.76</v>
      </c>
      <c r="D644" s="20" t="n">
        <f aca="false">IF(B644=B643,(C644-C643)/C643,"")</f>
        <v>-0.0180118166695349</v>
      </c>
      <c r="E644" s="20" t="n">
        <f aca="false">IF(B644=B643,(1+E643)*(1+IF(D644="",0,D644))-1,0)</f>
        <v>-0.0217714285714287</v>
      </c>
      <c r="F644" s="21" t="n">
        <f aca="false">IF(B644=B643,MAX(F643,C644),C644)</f>
        <v>700</v>
      </c>
      <c r="G644" s="20" t="n">
        <f aca="false">(C644-F644)/F644</f>
        <v>-0.0217714285714286</v>
      </c>
      <c r="H644" s="21" t="str">
        <f aca="true">IF(COUNTIFS($B$2:B644,B644)&gt;=20,AVERAGE(OFFSET(C644,-19,0,20,1)),"")</f>
        <v/>
      </c>
      <c r="I644" s="21" t="str">
        <f aca="true">IF(COUNTIFS($B$2:B644,B644)&gt;=50,AVERAGE(OFFSET(C644,-49,0,50,1)),"")</f>
        <v/>
      </c>
    </row>
    <row r="645" customFormat="false" ht="15" hidden="false" customHeight="false" outlineLevel="0" collapsed="false">
      <c r="A645" s="17" t="n">
        <f aca="false">Cours_Bruts!A645</f>
        <v>45722</v>
      </c>
      <c r="B645" s="18" t="str">
        <f aca="false">Cours_Bruts!B645</f>
        <v>MC</v>
      </c>
      <c r="C645" s="19" t="n">
        <f aca="false">Cours_Bruts!C645</f>
        <v>677.02</v>
      </c>
      <c r="D645" s="20" t="n">
        <f aca="false">IF(B645=B644,(C645-C644)/C644,"")</f>
        <v>-0.0113032303288744</v>
      </c>
      <c r="E645" s="20" t="n">
        <f aca="false">IF(B645=B644,(1+E644)*(1+IF(D645="",0,D645))-1,0)</f>
        <v>-0.0328285714285715</v>
      </c>
      <c r="F645" s="21" t="n">
        <f aca="false">IF(B645=B644,MAX(F644,C645),C645)</f>
        <v>700</v>
      </c>
      <c r="G645" s="20" t="n">
        <f aca="false">(C645-F645)/F645</f>
        <v>-0.0328285714285715</v>
      </c>
      <c r="H645" s="21" t="str">
        <f aca="true">IF(COUNTIFS($B$2:B645,B645)&gt;=20,AVERAGE(OFFSET(C645,-19,0,20,1)),"")</f>
        <v/>
      </c>
      <c r="I645" s="21" t="str">
        <f aca="true">IF(COUNTIFS($B$2:B645,B645)&gt;=50,AVERAGE(OFFSET(C645,-49,0,50,1)),"")</f>
        <v/>
      </c>
    </row>
    <row r="646" customFormat="false" ht="15" hidden="false" customHeight="false" outlineLevel="0" collapsed="false">
      <c r="A646" s="17" t="n">
        <f aca="false">Cours_Bruts!A646</f>
        <v>45723</v>
      </c>
      <c r="B646" s="18" t="str">
        <f aca="false">Cours_Bruts!B646</f>
        <v>MC</v>
      </c>
      <c r="C646" s="19" t="n">
        <f aca="false">Cours_Bruts!C646</f>
        <v>667.39</v>
      </c>
      <c r="D646" s="20" t="n">
        <f aca="false">IF(B646=B645,(C646-C645)/C645,"")</f>
        <v>-0.0142240997311748</v>
      </c>
      <c r="E646" s="20" t="n">
        <f aca="false">IF(B646=B645,(1+E645)*(1+IF(D646="",0,D646))-1,0)</f>
        <v>-0.0465857142857145</v>
      </c>
      <c r="F646" s="21" t="n">
        <f aca="false">IF(B646=B645,MAX(F645,C646),C646)</f>
        <v>700</v>
      </c>
      <c r="G646" s="20" t="n">
        <f aca="false">(C646-F646)/F646</f>
        <v>-0.0465857142857143</v>
      </c>
      <c r="H646" s="21" t="str">
        <f aca="true">IF(COUNTIFS($B$2:B646,B646)&gt;=20,AVERAGE(OFFSET(C646,-19,0,20,1)),"")</f>
        <v/>
      </c>
      <c r="I646" s="21" t="str">
        <f aca="true">IF(COUNTIFS($B$2:B646,B646)&gt;=50,AVERAGE(OFFSET(C646,-49,0,50,1)),"")</f>
        <v/>
      </c>
    </row>
    <row r="647" customFormat="false" ht="15" hidden="false" customHeight="false" outlineLevel="0" collapsed="false">
      <c r="A647" s="17" t="n">
        <f aca="false">Cours_Bruts!A647</f>
        <v>45726</v>
      </c>
      <c r="B647" s="18" t="str">
        <f aca="false">Cours_Bruts!B647</f>
        <v>MC</v>
      </c>
      <c r="C647" s="19" t="n">
        <f aca="false">Cours_Bruts!C647</f>
        <v>673.9</v>
      </c>
      <c r="D647" s="20" t="n">
        <f aca="false">IF(B647=B646,(C647-C646)/C646,"")</f>
        <v>0.0097544164581429</v>
      </c>
      <c r="E647" s="20" t="n">
        <f aca="false">IF(B647=B646,(1+E646)*(1+IF(D647="",0,D647))-1,0)</f>
        <v>-0.0372857142857145</v>
      </c>
      <c r="F647" s="21" t="n">
        <f aca="false">IF(B647=B646,MAX(F646,C647),C647)</f>
        <v>700</v>
      </c>
      <c r="G647" s="20" t="n">
        <f aca="false">(C647-F647)/F647</f>
        <v>-0.0372857142857143</v>
      </c>
      <c r="H647" s="21" t="str">
        <f aca="true">IF(COUNTIFS($B$2:B647,B647)&gt;=20,AVERAGE(OFFSET(C647,-19,0,20,1)),"")</f>
        <v/>
      </c>
      <c r="I647" s="21" t="str">
        <f aca="true">IF(COUNTIFS($B$2:B647,B647)&gt;=50,AVERAGE(OFFSET(C647,-49,0,50,1)),"")</f>
        <v/>
      </c>
    </row>
    <row r="648" customFormat="false" ht="15" hidden="false" customHeight="false" outlineLevel="0" collapsed="false">
      <c r="A648" s="17" t="n">
        <f aca="false">Cours_Bruts!A648</f>
        <v>45727</v>
      </c>
      <c r="B648" s="18" t="str">
        <f aca="false">Cours_Bruts!B648</f>
        <v>MC</v>
      </c>
      <c r="C648" s="19" t="n">
        <f aca="false">Cours_Bruts!C648</f>
        <v>685.21</v>
      </c>
      <c r="D648" s="20" t="n">
        <f aca="false">IF(B648=B647,(C648-C647)/C647,"")</f>
        <v>0.0167829054755899</v>
      </c>
      <c r="E648" s="20" t="n">
        <f aca="false">IF(B648=B647,(1+E647)*(1+IF(D648="",0,D648))-1,0)</f>
        <v>-0.0211285714285716</v>
      </c>
      <c r="F648" s="21" t="n">
        <f aca="false">IF(B648=B647,MAX(F647,C648),C648)</f>
        <v>700</v>
      </c>
      <c r="G648" s="20" t="n">
        <f aca="false">(C648-F648)/F648</f>
        <v>-0.0211285714285714</v>
      </c>
      <c r="H648" s="21" t="str">
        <f aca="true">IF(COUNTIFS($B$2:B648,B648)&gt;=20,AVERAGE(OFFSET(C648,-19,0,20,1)),"")</f>
        <v/>
      </c>
      <c r="I648" s="21" t="str">
        <f aca="true">IF(COUNTIFS($B$2:B648,B648)&gt;=50,AVERAGE(OFFSET(C648,-49,0,50,1)),"")</f>
        <v/>
      </c>
    </row>
    <row r="649" customFormat="false" ht="15" hidden="false" customHeight="false" outlineLevel="0" collapsed="false">
      <c r="A649" s="17" t="n">
        <f aca="false">Cours_Bruts!A649</f>
        <v>45728</v>
      </c>
      <c r="B649" s="18" t="str">
        <f aca="false">Cours_Bruts!B649</f>
        <v>MC</v>
      </c>
      <c r="C649" s="19" t="n">
        <f aca="false">Cours_Bruts!C649</f>
        <v>684.46</v>
      </c>
      <c r="D649" s="20" t="n">
        <f aca="false">IF(B649=B648,(C649-C648)/C648,"")</f>
        <v>-0.00109455495395572</v>
      </c>
      <c r="E649" s="20" t="n">
        <f aca="false">IF(B649=B648,(1+E648)*(1+IF(D649="",0,D649))-1,0)</f>
        <v>-0.0222000000000002</v>
      </c>
      <c r="F649" s="21" t="n">
        <f aca="false">IF(B649=B648,MAX(F648,C649),C649)</f>
        <v>700</v>
      </c>
      <c r="G649" s="20" t="n">
        <f aca="false">(C649-F649)/F649</f>
        <v>-0.0222</v>
      </c>
      <c r="H649" s="21" t="str">
        <f aca="true">IF(COUNTIFS($B$2:B649,B649)&gt;=20,AVERAGE(OFFSET(C649,-19,0,20,1)),"")</f>
        <v/>
      </c>
      <c r="I649" s="21" t="str">
        <f aca="true">IF(COUNTIFS($B$2:B649,B649)&gt;=50,AVERAGE(OFFSET(C649,-49,0,50,1)),"")</f>
        <v/>
      </c>
    </row>
    <row r="650" customFormat="false" ht="15" hidden="false" customHeight="false" outlineLevel="0" collapsed="false">
      <c r="A650" s="17" t="n">
        <f aca="false">Cours_Bruts!A650</f>
        <v>45729</v>
      </c>
      <c r="B650" s="18" t="str">
        <f aca="false">Cours_Bruts!B650</f>
        <v>MC</v>
      </c>
      <c r="C650" s="19" t="n">
        <f aca="false">Cours_Bruts!C650</f>
        <v>687.21</v>
      </c>
      <c r="D650" s="20" t="n">
        <f aca="false">IF(B650=B649,(C650-C649)/C649,"")</f>
        <v>0.00401776582999737</v>
      </c>
      <c r="E650" s="20" t="n">
        <f aca="false">IF(B650=B649,(1+E649)*(1+IF(D650="",0,D650))-1,0)</f>
        <v>-0.0182714285714288</v>
      </c>
      <c r="F650" s="21" t="n">
        <f aca="false">IF(B650=B649,MAX(F649,C650),C650)</f>
        <v>700</v>
      </c>
      <c r="G650" s="20" t="n">
        <f aca="false">(C650-F650)/F650</f>
        <v>-0.0182714285714285</v>
      </c>
      <c r="H650" s="21" t="str">
        <f aca="true">IF(COUNTIFS($B$2:B650,B650)&gt;=20,AVERAGE(OFFSET(C650,-19,0,20,1)),"")</f>
        <v/>
      </c>
      <c r="I650" s="21" t="str">
        <f aca="true">IF(COUNTIFS($B$2:B650,B650)&gt;=50,AVERAGE(OFFSET(C650,-49,0,50,1)),"")</f>
        <v/>
      </c>
    </row>
    <row r="651" customFormat="false" ht="15" hidden="false" customHeight="false" outlineLevel="0" collapsed="false">
      <c r="A651" s="17" t="n">
        <f aca="false">Cours_Bruts!A651</f>
        <v>45730</v>
      </c>
      <c r="B651" s="18" t="str">
        <f aca="false">Cours_Bruts!B651</f>
        <v>MC</v>
      </c>
      <c r="C651" s="19" t="n">
        <f aca="false">Cours_Bruts!C651</f>
        <v>685.83</v>
      </c>
      <c r="D651" s="20" t="n">
        <f aca="false">IF(B651=B650,(C651-C650)/C650,"")</f>
        <v>-0.00200811978871087</v>
      </c>
      <c r="E651" s="20" t="n">
        <f aca="false">IF(B651=B650,(1+E650)*(1+IF(D651="",0,D651))-1,0)</f>
        <v>-0.0202428571428573</v>
      </c>
      <c r="F651" s="21" t="n">
        <f aca="false">IF(B651=B650,MAX(F650,C651),C651)</f>
        <v>700</v>
      </c>
      <c r="G651" s="20" t="n">
        <f aca="false">(C651-F651)/F651</f>
        <v>-0.0202428571428571</v>
      </c>
      <c r="H651" s="21" t="str">
        <f aca="true">IF(COUNTIFS($B$2:B651,B651)&gt;=20,AVERAGE(OFFSET(C651,-19,0,20,1)),"")</f>
        <v/>
      </c>
      <c r="I651" s="21" t="str">
        <f aca="true">IF(COUNTIFS($B$2:B651,B651)&gt;=50,AVERAGE(OFFSET(C651,-49,0,50,1)),"")</f>
        <v/>
      </c>
    </row>
    <row r="652" customFormat="false" ht="15" hidden="false" customHeight="false" outlineLevel="0" collapsed="false">
      <c r="A652" s="17" t="n">
        <f aca="false">Cours_Bruts!A652</f>
        <v>45733</v>
      </c>
      <c r="B652" s="18" t="str">
        <f aca="false">Cours_Bruts!B652</f>
        <v>MC</v>
      </c>
      <c r="C652" s="19" t="n">
        <f aca="false">Cours_Bruts!C652</f>
        <v>677.35</v>
      </c>
      <c r="D652" s="20" t="n">
        <f aca="false">IF(B652=B651,(C652-C651)/C651,"")</f>
        <v>-0.0123645801437674</v>
      </c>
      <c r="E652" s="20" t="n">
        <f aca="false">IF(B652=B651,(1+E651)*(1+IF(D652="",0,D652))-1,0)</f>
        <v>-0.0323571428571431</v>
      </c>
      <c r="F652" s="21" t="n">
        <f aca="false">IF(B652=B651,MAX(F651,C652),C652)</f>
        <v>700</v>
      </c>
      <c r="G652" s="20" t="n">
        <f aca="false">(C652-F652)/F652</f>
        <v>-0.0323571428571428</v>
      </c>
      <c r="H652" s="21" t="str">
        <f aca="true">IF(COUNTIFS($B$2:B652,B652)&gt;=20,AVERAGE(OFFSET(C652,-19,0,20,1)),"")</f>
        <v/>
      </c>
      <c r="I652" s="21" t="str">
        <f aca="true">IF(COUNTIFS($B$2:B652,B652)&gt;=50,AVERAGE(OFFSET(C652,-49,0,50,1)),"")</f>
        <v/>
      </c>
    </row>
    <row r="653" customFormat="false" ht="15" hidden="false" customHeight="false" outlineLevel="0" collapsed="false">
      <c r="A653" s="17" t="n">
        <f aca="false">Cours_Bruts!A653</f>
        <v>45734</v>
      </c>
      <c r="B653" s="18" t="str">
        <f aca="false">Cours_Bruts!B653</f>
        <v>MC</v>
      </c>
      <c r="C653" s="19" t="n">
        <f aca="false">Cours_Bruts!C653</f>
        <v>686.81</v>
      </c>
      <c r="D653" s="20" t="n">
        <f aca="false">IF(B653=B652,(C653-C652)/C652,"")</f>
        <v>0.013966191776777</v>
      </c>
      <c r="E653" s="20" t="n">
        <f aca="false">IF(B653=B652,(1+E652)*(1+IF(D653="",0,D653))-1,0)</f>
        <v>-0.0188428571428575</v>
      </c>
      <c r="F653" s="21" t="n">
        <f aca="false">IF(B653=B652,MAX(F652,C653),C653)</f>
        <v>700</v>
      </c>
      <c r="G653" s="20" t="n">
        <f aca="false">(C653-F653)/F653</f>
        <v>-0.0188428571428572</v>
      </c>
      <c r="H653" s="21" t="str">
        <f aca="true">IF(COUNTIFS($B$2:B653,B653)&gt;=20,AVERAGE(OFFSET(C653,-19,0,20,1)),"")</f>
        <v/>
      </c>
      <c r="I653" s="21" t="str">
        <f aca="true">IF(COUNTIFS($B$2:B653,B653)&gt;=50,AVERAGE(OFFSET(C653,-49,0,50,1)),"")</f>
        <v/>
      </c>
    </row>
    <row r="654" customFormat="false" ht="15" hidden="false" customHeight="false" outlineLevel="0" collapsed="false">
      <c r="A654" s="17" t="n">
        <f aca="false">Cours_Bruts!A654</f>
        <v>45735</v>
      </c>
      <c r="B654" s="18" t="str">
        <f aca="false">Cours_Bruts!B654</f>
        <v>MC</v>
      </c>
      <c r="C654" s="19" t="n">
        <f aca="false">Cours_Bruts!C654</f>
        <v>694.14</v>
      </c>
      <c r="D654" s="20" t="n">
        <f aca="false">IF(B654=B653,(C654-C653)/C653,"")</f>
        <v>0.010672529520537</v>
      </c>
      <c r="E654" s="20" t="n">
        <f aca="false">IF(B654=B653,(1+E653)*(1+IF(D654="",0,D654))-1,0)</f>
        <v>-0.00837142857142892</v>
      </c>
      <c r="F654" s="21" t="n">
        <f aca="false">IF(B654=B653,MAX(F653,C654),C654)</f>
        <v>700</v>
      </c>
      <c r="G654" s="20" t="n">
        <f aca="false">(C654-F654)/F654</f>
        <v>-0.00837142857142859</v>
      </c>
      <c r="H654" s="21" t="str">
        <f aca="true">IF(COUNTIFS($B$2:B654,B654)&gt;=20,AVERAGE(OFFSET(C654,-19,0,20,1)),"")</f>
        <v/>
      </c>
      <c r="I654" s="21" t="str">
        <f aca="true">IF(COUNTIFS($B$2:B654,B654)&gt;=50,AVERAGE(OFFSET(C654,-49,0,50,1)),"")</f>
        <v/>
      </c>
    </row>
    <row r="655" customFormat="false" ht="15" hidden="false" customHeight="false" outlineLevel="0" collapsed="false">
      <c r="A655" s="17" t="n">
        <f aca="false">Cours_Bruts!A655</f>
        <v>45736</v>
      </c>
      <c r="B655" s="18" t="str">
        <f aca="false">Cours_Bruts!B655</f>
        <v>MC</v>
      </c>
      <c r="C655" s="19" t="n">
        <f aca="false">Cours_Bruts!C655</f>
        <v>673.73</v>
      </c>
      <c r="D655" s="20" t="n">
        <f aca="false">IF(B655=B654,(C655-C654)/C654,"")</f>
        <v>-0.0294032904025124</v>
      </c>
      <c r="E655" s="20" t="n">
        <f aca="false">IF(B655=B654,(1+E654)*(1+IF(D655="",0,D655))-1,0)</f>
        <v>-0.0375285714285717</v>
      </c>
      <c r="F655" s="21" t="n">
        <f aca="false">IF(B655=B654,MAX(F654,C655),C655)</f>
        <v>700</v>
      </c>
      <c r="G655" s="20" t="n">
        <f aca="false">(C655-F655)/F655</f>
        <v>-0.0375285714285714</v>
      </c>
      <c r="H655" s="21" t="str">
        <f aca="true">IF(COUNTIFS($B$2:B655,B655)&gt;=20,AVERAGE(OFFSET(C655,-19,0,20,1)),"")</f>
        <v/>
      </c>
      <c r="I655" s="21" t="str">
        <f aca="true">IF(COUNTIFS($B$2:B655,B655)&gt;=50,AVERAGE(OFFSET(C655,-49,0,50,1)),"")</f>
        <v/>
      </c>
    </row>
    <row r="656" customFormat="false" ht="15" hidden="false" customHeight="false" outlineLevel="0" collapsed="false">
      <c r="A656" s="17" t="n">
        <f aca="false">Cours_Bruts!A656</f>
        <v>45737</v>
      </c>
      <c r="B656" s="18" t="str">
        <f aca="false">Cours_Bruts!B656</f>
        <v>MC</v>
      </c>
      <c r="C656" s="19" t="n">
        <f aca="false">Cours_Bruts!C656</f>
        <v>670.99</v>
      </c>
      <c r="D656" s="20" t="n">
        <f aca="false">IF(B656=B655,(C656-C655)/C655,"")</f>
        <v>-0.00406691107713774</v>
      </c>
      <c r="E656" s="20" t="n">
        <f aca="false">IF(B656=B655,(1+E655)*(1+IF(D656="",0,D656))-1,0)</f>
        <v>-0.0414428571428575</v>
      </c>
      <c r="F656" s="21" t="n">
        <f aca="false">IF(B656=B655,MAX(F655,C656),C656)</f>
        <v>700</v>
      </c>
      <c r="G656" s="20" t="n">
        <f aca="false">(C656-F656)/F656</f>
        <v>-0.0414428571428571</v>
      </c>
      <c r="H656" s="21" t="str">
        <f aca="true">IF(COUNTIFS($B$2:B656,B656)&gt;=20,AVERAGE(OFFSET(C656,-19,0,20,1)),"")</f>
        <v/>
      </c>
      <c r="I656" s="21" t="str">
        <f aca="true">IF(COUNTIFS($B$2:B656,B656)&gt;=50,AVERAGE(OFFSET(C656,-49,0,50,1)),"")</f>
        <v/>
      </c>
    </row>
    <row r="657" customFormat="false" ht="15" hidden="false" customHeight="false" outlineLevel="0" collapsed="false">
      <c r="A657" s="17" t="n">
        <f aca="false">Cours_Bruts!A657</f>
        <v>45740</v>
      </c>
      <c r="B657" s="18" t="str">
        <f aca="false">Cours_Bruts!B657</f>
        <v>MC</v>
      </c>
      <c r="C657" s="19" t="n">
        <f aca="false">Cours_Bruts!C657</f>
        <v>661.94</v>
      </c>
      <c r="D657" s="20" t="n">
        <f aca="false">IF(B657=B656,(C657-C656)/C656,"")</f>
        <v>-0.0134875333462495</v>
      </c>
      <c r="E657" s="20" t="n">
        <f aca="false">IF(B657=B656,(1+E656)*(1+IF(D657="",0,D657))-1,0)</f>
        <v>-0.0543714285714289</v>
      </c>
      <c r="F657" s="21" t="n">
        <f aca="false">IF(B657=B656,MAX(F656,C657),C657)</f>
        <v>700</v>
      </c>
      <c r="G657" s="20" t="n">
        <f aca="false">(C657-F657)/F657</f>
        <v>-0.0543714285714285</v>
      </c>
      <c r="H657" s="21" t="str">
        <f aca="true">IF(COUNTIFS($B$2:B657,B657)&gt;=20,AVERAGE(OFFSET(C657,-19,0,20,1)),"")</f>
        <v/>
      </c>
      <c r="I657" s="21" t="str">
        <f aca="true">IF(COUNTIFS($B$2:B657,B657)&gt;=50,AVERAGE(OFFSET(C657,-49,0,50,1)),"")</f>
        <v/>
      </c>
    </row>
    <row r="658" customFormat="false" ht="15" hidden="false" customHeight="false" outlineLevel="0" collapsed="false">
      <c r="A658" s="17" t="n">
        <f aca="false">Cours_Bruts!A658</f>
        <v>45741</v>
      </c>
      <c r="B658" s="18" t="str">
        <f aca="false">Cours_Bruts!B658</f>
        <v>MC</v>
      </c>
      <c r="C658" s="19" t="n">
        <f aca="false">Cours_Bruts!C658</f>
        <v>658.13</v>
      </c>
      <c r="D658" s="20" t="n">
        <f aca="false">IF(B658=B657,(C658-C657)/C657,"")</f>
        <v>-0.00575580868356658</v>
      </c>
      <c r="E658" s="20" t="n">
        <f aca="false">IF(B658=B657,(1+E657)*(1+IF(D658="",0,D658))-1,0)</f>
        <v>-0.0598142857142862</v>
      </c>
      <c r="F658" s="21" t="n">
        <f aca="false">IF(B658=B657,MAX(F657,C658),C658)</f>
        <v>700</v>
      </c>
      <c r="G658" s="20" t="n">
        <f aca="false">(C658-F658)/F658</f>
        <v>-0.0598142857142857</v>
      </c>
      <c r="H658" s="21" t="str">
        <f aca="true">IF(COUNTIFS($B$2:B658,B658)&gt;=20,AVERAGE(OFFSET(C658,-19,0,20,1)),"")</f>
        <v/>
      </c>
      <c r="I658" s="21" t="str">
        <f aca="true">IF(COUNTIFS($B$2:B658,B658)&gt;=50,AVERAGE(OFFSET(C658,-49,0,50,1)),"")</f>
        <v/>
      </c>
    </row>
    <row r="659" customFormat="false" ht="15" hidden="false" customHeight="false" outlineLevel="0" collapsed="false">
      <c r="A659" s="17" t="n">
        <f aca="false">Cours_Bruts!A659</f>
        <v>45742</v>
      </c>
      <c r="B659" s="18" t="str">
        <f aca="false">Cours_Bruts!B659</f>
        <v>MC</v>
      </c>
      <c r="C659" s="19" t="n">
        <f aca="false">Cours_Bruts!C659</f>
        <v>651.44</v>
      </c>
      <c r="D659" s="20" t="n">
        <f aca="false">IF(B659=B658,(C659-C658)/C658,"")</f>
        <v>-0.0101651649370184</v>
      </c>
      <c r="E659" s="20" t="n">
        <f aca="false">IF(B659=B658,(1+E658)*(1+IF(D659="",0,D659))-1,0)</f>
        <v>-0.069371428571429</v>
      </c>
      <c r="F659" s="21" t="n">
        <f aca="false">IF(B659=B658,MAX(F658,C659),C659)</f>
        <v>700</v>
      </c>
      <c r="G659" s="20" t="n">
        <f aca="false">(C659-F659)/F659</f>
        <v>-0.0693714285714285</v>
      </c>
      <c r="H659" s="21" t="str">
        <f aca="true">IF(COUNTIFS($B$2:B659,B659)&gt;=20,AVERAGE(OFFSET(C659,-19,0,20,1)),"")</f>
        <v/>
      </c>
      <c r="I659" s="21" t="str">
        <f aca="true">IF(COUNTIFS($B$2:B659,B659)&gt;=50,AVERAGE(OFFSET(C659,-49,0,50,1)),"")</f>
        <v/>
      </c>
    </row>
    <row r="660" customFormat="false" ht="15" hidden="false" customHeight="false" outlineLevel="0" collapsed="false">
      <c r="A660" s="17" t="n">
        <f aca="false">Cours_Bruts!A660</f>
        <v>45743</v>
      </c>
      <c r="B660" s="18" t="str">
        <f aca="false">Cours_Bruts!B660</f>
        <v>MC</v>
      </c>
      <c r="C660" s="19" t="n">
        <f aca="false">Cours_Bruts!C660</f>
        <v>651.22</v>
      </c>
      <c r="D660" s="20" t="n">
        <f aca="false">IF(B660=B659,(C660-C659)/C659,"")</f>
        <v>-0.00033771337344963</v>
      </c>
      <c r="E660" s="20" t="n">
        <f aca="false">IF(B660=B659,(1+E659)*(1+IF(D660="",0,D660))-1,0)</f>
        <v>-0.0696857142857148</v>
      </c>
      <c r="F660" s="21" t="n">
        <f aca="false">IF(B660=B659,MAX(F659,C660),C660)</f>
        <v>700</v>
      </c>
      <c r="G660" s="20" t="n">
        <f aca="false">(C660-F660)/F660</f>
        <v>-0.0696857142857143</v>
      </c>
      <c r="H660" s="21" t="str">
        <f aca="true">IF(COUNTIFS($B$2:B660,B660)&gt;=20,AVERAGE(OFFSET(C660,-19,0,20,1)),"")</f>
        <v/>
      </c>
      <c r="I660" s="21" t="str">
        <f aca="true">IF(COUNTIFS($B$2:B660,B660)&gt;=50,AVERAGE(OFFSET(C660,-49,0,50,1)),"")</f>
        <v/>
      </c>
    </row>
    <row r="661" customFormat="false" ht="15" hidden="false" customHeight="false" outlineLevel="0" collapsed="false">
      <c r="A661" s="17" t="n">
        <f aca="false">Cours_Bruts!A661</f>
        <v>45744</v>
      </c>
      <c r="B661" s="18" t="str">
        <f aca="false">Cours_Bruts!B661</f>
        <v>MC</v>
      </c>
      <c r="C661" s="19" t="n">
        <f aca="false">Cours_Bruts!C661</f>
        <v>648.1</v>
      </c>
      <c r="D661" s="20" t="n">
        <f aca="false">IF(B661=B660,(C661-C660)/C660,"")</f>
        <v>-0.00479100764718529</v>
      </c>
      <c r="E661" s="20" t="n">
        <f aca="false">IF(B661=B660,(1+E660)*(1+IF(D661="",0,D661))-1,0)</f>
        <v>-0.0741428571428577</v>
      </c>
      <c r="F661" s="21" t="n">
        <f aca="false">IF(B661=B660,MAX(F660,C661),C661)</f>
        <v>700</v>
      </c>
      <c r="G661" s="20" t="n">
        <f aca="false">(C661-F661)/F661</f>
        <v>-0.0741428571428571</v>
      </c>
      <c r="H661" s="21" t="n">
        <f aca="true">IF(COUNTIFS($B$2:B661,B661)&gt;=20,AVERAGE(OFFSET(C661,-19,0,20,1)),"")</f>
        <v>675.8475</v>
      </c>
      <c r="I661" s="21" t="str">
        <f aca="true">IF(COUNTIFS($B$2:B661,B661)&gt;=50,AVERAGE(OFFSET(C661,-49,0,50,1)),"")</f>
        <v/>
      </c>
    </row>
    <row r="662" customFormat="false" ht="15" hidden="false" customHeight="false" outlineLevel="0" collapsed="false">
      <c r="A662" s="17" t="n">
        <f aca="false">Cours_Bruts!A662</f>
        <v>45747</v>
      </c>
      <c r="B662" s="18" t="str">
        <f aca="false">Cours_Bruts!B662</f>
        <v>MC</v>
      </c>
      <c r="C662" s="19" t="n">
        <f aca="false">Cours_Bruts!C662</f>
        <v>644.77</v>
      </c>
      <c r="D662" s="20" t="n">
        <f aca="false">IF(B662=B661,(C662-C661)/C661,"")</f>
        <v>-0.00513809597284376</v>
      </c>
      <c r="E662" s="20" t="n">
        <f aca="false">IF(B662=B661,(1+E661)*(1+IF(D662="",0,D662))-1,0)</f>
        <v>-0.0789000000000006</v>
      </c>
      <c r="F662" s="21" t="n">
        <f aca="false">IF(B662=B661,MAX(F661,C662),C662)</f>
        <v>700</v>
      </c>
      <c r="G662" s="20" t="n">
        <f aca="false">(C662-F662)/F662</f>
        <v>-0.0789</v>
      </c>
      <c r="H662" s="21" t="n">
        <f aca="true">IF(COUNTIFS($B$2:B662,B662)&gt;=20,AVERAGE(OFFSET(C662,-19,0,20,1)),"")</f>
        <v>673.086</v>
      </c>
      <c r="I662" s="21" t="str">
        <f aca="true">IF(COUNTIFS($B$2:B662,B662)&gt;=50,AVERAGE(OFFSET(C662,-49,0,50,1)),"")</f>
        <v/>
      </c>
    </row>
    <row r="663" customFormat="false" ht="15" hidden="false" customHeight="false" outlineLevel="0" collapsed="false">
      <c r="A663" s="17" t="n">
        <f aca="false">Cours_Bruts!A663</f>
        <v>45748</v>
      </c>
      <c r="B663" s="18" t="str">
        <f aca="false">Cours_Bruts!B663</f>
        <v>MC</v>
      </c>
      <c r="C663" s="19" t="n">
        <f aca="false">Cours_Bruts!C663</f>
        <v>656.27</v>
      </c>
      <c r="D663" s="20" t="n">
        <f aca="false">IF(B663=B662,(C663-C662)/C662,"")</f>
        <v>0.0178358174232672</v>
      </c>
      <c r="E663" s="20" t="n">
        <f aca="false">IF(B663=B662,(1+E662)*(1+IF(D663="",0,D663))-1,0)</f>
        <v>-0.0624714285714293</v>
      </c>
      <c r="F663" s="21" t="n">
        <f aca="false">IF(B663=B662,MAX(F662,C663),C663)</f>
        <v>700</v>
      </c>
      <c r="G663" s="20" t="n">
        <f aca="false">(C663-F663)/F663</f>
        <v>-0.0624714285714286</v>
      </c>
      <c r="H663" s="21" t="n">
        <f aca="true">IF(COUNTIFS($B$2:B663,B663)&gt;=20,AVERAGE(OFFSET(C663,-19,0,20,1)),"")</f>
        <v>671.0335</v>
      </c>
      <c r="I663" s="21" t="str">
        <f aca="true">IF(COUNTIFS($B$2:B663,B663)&gt;=50,AVERAGE(OFFSET(C663,-49,0,50,1)),"")</f>
        <v/>
      </c>
    </row>
    <row r="664" customFormat="false" ht="15" hidden="false" customHeight="false" outlineLevel="0" collapsed="false">
      <c r="A664" s="17" t="n">
        <f aca="false">Cours_Bruts!A664</f>
        <v>45749</v>
      </c>
      <c r="B664" s="18" t="str">
        <f aca="false">Cours_Bruts!B664</f>
        <v>MC</v>
      </c>
      <c r="C664" s="19" t="n">
        <f aca="false">Cours_Bruts!C664</f>
        <v>662.29</v>
      </c>
      <c r="D664" s="20" t="n">
        <f aca="false">IF(B664=B663,(C664-C663)/C663,"")</f>
        <v>0.00917305377359925</v>
      </c>
      <c r="E664" s="20" t="n">
        <f aca="false">IF(B664=B663,(1+E663)*(1+IF(D664="",0,D664))-1,0)</f>
        <v>-0.0538714285714294</v>
      </c>
      <c r="F664" s="21" t="n">
        <f aca="false">IF(B664=B663,MAX(F663,C664),C664)</f>
        <v>700</v>
      </c>
      <c r="G664" s="20" t="n">
        <f aca="false">(C664-F664)/F664</f>
        <v>-0.0538714285714286</v>
      </c>
      <c r="H664" s="21" t="n">
        <f aca="true">IF(COUNTIFS($B$2:B664,B664)&gt;=20,AVERAGE(OFFSET(C664,-19,0,20,1)),"")</f>
        <v>669.91</v>
      </c>
      <c r="I664" s="21" t="str">
        <f aca="true">IF(COUNTIFS($B$2:B664,B664)&gt;=50,AVERAGE(OFFSET(C664,-49,0,50,1)),"")</f>
        <v/>
      </c>
    </row>
    <row r="665" customFormat="false" ht="15" hidden="false" customHeight="false" outlineLevel="0" collapsed="false">
      <c r="A665" s="17" t="n">
        <f aca="false">Cours_Bruts!A665</f>
        <v>45750</v>
      </c>
      <c r="B665" s="18" t="str">
        <f aca="false">Cours_Bruts!B665</f>
        <v>MC</v>
      </c>
      <c r="C665" s="19" t="n">
        <f aca="false">Cours_Bruts!C665</f>
        <v>655.21</v>
      </c>
      <c r="D665" s="20" t="n">
        <f aca="false">IF(B665=B664,(C665-C664)/C664,"")</f>
        <v>-0.0106901810385178</v>
      </c>
      <c r="E665" s="20" t="n">
        <f aca="false">IF(B665=B664,(1+E664)*(1+IF(D665="",0,D665))-1,0)</f>
        <v>-0.0639857142857149</v>
      </c>
      <c r="F665" s="21" t="n">
        <f aca="false">IF(B665=B664,MAX(F664,C665),C665)</f>
        <v>700</v>
      </c>
      <c r="G665" s="20" t="n">
        <f aca="false">(C665-F665)/F665</f>
        <v>-0.0639857142857142</v>
      </c>
      <c r="H665" s="21" t="n">
        <f aca="true">IF(COUNTIFS($B$2:B665,B665)&gt;=20,AVERAGE(OFFSET(C665,-19,0,20,1)),"")</f>
        <v>668.8195</v>
      </c>
      <c r="I665" s="21" t="str">
        <f aca="true">IF(COUNTIFS($B$2:B665,B665)&gt;=50,AVERAGE(OFFSET(C665,-49,0,50,1)),"")</f>
        <v/>
      </c>
    </row>
    <row r="666" customFormat="false" ht="15" hidden="false" customHeight="false" outlineLevel="0" collapsed="false">
      <c r="A666" s="17" t="n">
        <f aca="false">Cours_Bruts!A666</f>
        <v>45751</v>
      </c>
      <c r="B666" s="18" t="str">
        <f aca="false">Cours_Bruts!B666</f>
        <v>MC</v>
      </c>
      <c r="C666" s="19" t="n">
        <f aca="false">Cours_Bruts!C666</f>
        <v>649.74</v>
      </c>
      <c r="D666" s="20" t="n">
        <f aca="false">IF(B666=B665,(C666-C665)/C665,"")</f>
        <v>-0.00834846842996906</v>
      </c>
      <c r="E666" s="20" t="n">
        <f aca="false">IF(B666=B665,(1+E665)*(1+IF(D666="",0,D666))-1,0)</f>
        <v>-0.0718000000000006</v>
      </c>
      <c r="F666" s="21" t="n">
        <f aca="false">IF(B666=B665,MAX(F665,C666),C666)</f>
        <v>700</v>
      </c>
      <c r="G666" s="20" t="n">
        <f aca="false">(C666-F666)/F666</f>
        <v>-0.0718</v>
      </c>
      <c r="H666" s="21" t="n">
        <f aca="true">IF(COUNTIFS($B$2:B666,B666)&gt;=20,AVERAGE(OFFSET(C666,-19,0,20,1)),"")</f>
        <v>667.937</v>
      </c>
      <c r="I666" s="21" t="str">
        <f aca="true">IF(COUNTIFS($B$2:B666,B666)&gt;=50,AVERAGE(OFFSET(C666,-49,0,50,1)),"")</f>
        <v/>
      </c>
    </row>
    <row r="667" customFormat="false" ht="15" hidden="false" customHeight="false" outlineLevel="0" collapsed="false">
      <c r="A667" s="17" t="n">
        <f aca="false">Cours_Bruts!A667</f>
        <v>45754</v>
      </c>
      <c r="B667" s="18" t="str">
        <f aca="false">Cours_Bruts!B667</f>
        <v>MC</v>
      </c>
      <c r="C667" s="19" t="n">
        <f aca="false">Cours_Bruts!C667</f>
        <v>655.03</v>
      </c>
      <c r="D667" s="20" t="n">
        <f aca="false">IF(B667=B666,(C667-C666)/C666,"")</f>
        <v>0.00814171822575178</v>
      </c>
      <c r="E667" s="20" t="n">
        <f aca="false">IF(B667=B666,(1+E666)*(1+IF(D667="",0,D667))-1,0)</f>
        <v>-0.0642428571428579</v>
      </c>
      <c r="F667" s="21" t="n">
        <f aca="false">IF(B667=B666,MAX(F666,C667),C667)</f>
        <v>700</v>
      </c>
      <c r="G667" s="20" t="n">
        <f aca="false">(C667-F667)/F667</f>
        <v>-0.0642428571428572</v>
      </c>
      <c r="H667" s="21" t="n">
        <f aca="true">IF(COUNTIFS($B$2:B667,B667)&gt;=20,AVERAGE(OFFSET(C667,-19,0,20,1)),"")</f>
        <v>666.9935</v>
      </c>
      <c r="I667" s="21" t="str">
        <f aca="true">IF(COUNTIFS($B$2:B667,B667)&gt;=50,AVERAGE(OFFSET(C667,-49,0,50,1)),"")</f>
        <v/>
      </c>
    </row>
    <row r="668" customFormat="false" ht="15" hidden="false" customHeight="false" outlineLevel="0" collapsed="false">
      <c r="A668" s="17" t="n">
        <f aca="false">Cours_Bruts!A668</f>
        <v>45755</v>
      </c>
      <c r="B668" s="18" t="str">
        <f aca="false">Cours_Bruts!B668</f>
        <v>MC</v>
      </c>
      <c r="C668" s="19" t="n">
        <f aca="false">Cours_Bruts!C668</f>
        <v>660.35</v>
      </c>
      <c r="D668" s="20" t="n">
        <f aca="false">IF(B668=B667,(C668-C667)/C667,"")</f>
        <v>0.00812176541532457</v>
      </c>
      <c r="E668" s="20" t="n">
        <f aca="false">IF(B668=B667,(1+E667)*(1+IF(D668="",0,D668))-1,0)</f>
        <v>-0.0566428571428579</v>
      </c>
      <c r="F668" s="21" t="n">
        <f aca="false">IF(B668=B667,MAX(F667,C668),C668)</f>
        <v>700</v>
      </c>
      <c r="G668" s="20" t="n">
        <f aca="false">(C668-F668)/F668</f>
        <v>-0.0566428571428571</v>
      </c>
      <c r="H668" s="21" t="n">
        <f aca="true">IF(COUNTIFS($B$2:B668,B668)&gt;=20,AVERAGE(OFFSET(C668,-19,0,20,1)),"")</f>
        <v>665.7505</v>
      </c>
      <c r="I668" s="21" t="str">
        <f aca="true">IF(COUNTIFS($B$2:B668,B668)&gt;=50,AVERAGE(OFFSET(C668,-49,0,50,1)),"")</f>
        <v/>
      </c>
    </row>
    <row r="669" customFormat="false" ht="15" hidden="false" customHeight="false" outlineLevel="0" collapsed="false">
      <c r="A669" s="17" t="n">
        <f aca="false">Cours_Bruts!A669</f>
        <v>45756</v>
      </c>
      <c r="B669" s="18" t="str">
        <f aca="false">Cours_Bruts!B669</f>
        <v>MC</v>
      </c>
      <c r="C669" s="19" t="n">
        <f aca="false">Cours_Bruts!C669</f>
        <v>654.33</v>
      </c>
      <c r="D669" s="20" t="n">
        <f aca="false">IF(B669=B668,(C669-C668)/C668,"")</f>
        <v>-0.0091163776785038</v>
      </c>
      <c r="E669" s="20" t="n">
        <f aca="false">IF(B669=B668,(1+E668)*(1+IF(D669="",0,D669))-1,0)</f>
        <v>-0.0652428571428578</v>
      </c>
      <c r="F669" s="21" t="n">
        <f aca="false">IF(B669=B668,MAX(F668,C669),C669)</f>
        <v>700</v>
      </c>
      <c r="G669" s="20" t="n">
        <f aca="false">(C669-F669)/F669</f>
        <v>-0.0652428571428571</v>
      </c>
      <c r="H669" s="21" t="n">
        <f aca="true">IF(COUNTIFS($B$2:B669,B669)&gt;=20,AVERAGE(OFFSET(C669,-19,0,20,1)),"")</f>
        <v>664.244</v>
      </c>
      <c r="I669" s="21" t="str">
        <f aca="true">IF(COUNTIFS($B$2:B669,B669)&gt;=50,AVERAGE(OFFSET(C669,-49,0,50,1)),"")</f>
        <v/>
      </c>
    </row>
    <row r="670" customFormat="false" ht="15" hidden="false" customHeight="false" outlineLevel="0" collapsed="false">
      <c r="A670" s="17" t="n">
        <f aca="false">Cours_Bruts!A670</f>
        <v>45757</v>
      </c>
      <c r="B670" s="18" t="str">
        <f aca="false">Cours_Bruts!B670</f>
        <v>MC</v>
      </c>
      <c r="C670" s="19" t="n">
        <f aca="false">Cours_Bruts!C670</f>
        <v>652.18</v>
      </c>
      <c r="D670" s="20" t="n">
        <f aca="false">IF(B670=B669,(C670-C669)/C669,"")</f>
        <v>-0.0032858037993063</v>
      </c>
      <c r="E670" s="20" t="n">
        <f aca="false">IF(B670=B669,(1+E669)*(1+IF(D670="",0,D670))-1,0)</f>
        <v>-0.0683142857142866</v>
      </c>
      <c r="F670" s="21" t="n">
        <f aca="false">IF(B670=B669,MAX(F669,C670),C670)</f>
        <v>700</v>
      </c>
      <c r="G670" s="20" t="n">
        <f aca="false">(C670-F670)/F670</f>
        <v>-0.0683142857142858</v>
      </c>
      <c r="H670" s="21" t="n">
        <f aca="true">IF(COUNTIFS($B$2:B670,B670)&gt;=20,AVERAGE(OFFSET(C670,-19,0,20,1)),"")</f>
        <v>662.4925</v>
      </c>
      <c r="I670" s="21" t="str">
        <f aca="true">IF(COUNTIFS($B$2:B670,B670)&gt;=50,AVERAGE(OFFSET(C670,-49,0,50,1)),"")</f>
        <v/>
      </c>
    </row>
    <row r="671" customFormat="false" ht="15" hidden="false" customHeight="false" outlineLevel="0" collapsed="false">
      <c r="A671" s="17" t="n">
        <f aca="false">Cours_Bruts!A671</f>
        <v>45758</v>
      </c>
      <c r="B671" s="18" t="str">
        <f aca="false">Cours_Bruts!B671</f>
        <v>MC</v>
      </c>
      <c r="C671" s="19" t="n">
        <f aca="false">Cours_Bruts!C671</f>
        <v>671.4</v>
      </c>
      <c r="D671" s="20" t="n">
        <f aca="false">IF(B671=B670,(C671-C670)/C670,"")</f>
        <v>0.0294703916096784</v>
      </c>
      <c r="E671" s="20" t="n">
        <f aca="false">IF(B671=B670,(1+E670)*(1+IF(D671="",0,D671))-1,0)</f>
        <v>-0.0408571428571437</v>
      </c>
      <c r="F671" s="21" t="n">
        <f aca="false">IF(B671=B670,MAX(F670,C671),C671)</f>
        <v>700</v>
      </c>
      <c r="G671" s="20" t="n">
        <f aca="false">(C671-F671)/F671</f>
        <v>-0.0408571428571429</v>
      </c>
      <c r="H671" s="21" t="n">
        <f aca="true">IF(COUNTIFS($B$2:B671,B671)&gt;=20,AVERAGE(OFFSET(C671,-19,0,20,1)),"")</f>
        <v>661.771</v>
      </c>
      <c r="I671" s="21" t="str">
        <f aca="true">IF(COUNTIFS($B$2:B671,B671)&gt;=50,AVERAGE(OFFSET(C671,-49,0,50,1)),"")</f>
        <v/>
      </c>
    </row>
    <row r="672" customFormat="false" ht="15" hidden="false" customHeight="false" outlineLevel="0" collapsed="false">
      <c r="A672" s="17" t="n">
        <f aca="false">Cours_Bruts!A672</f>
        <v>45761</v>
      </c>
      <c r="B672" s="18" t="str">
        <f aca="false">Cours_Bruts!B672</f>
        <v>MC</v>
      </c>
      <c r="C672" s="19" t="n">
        <f aca="false">Cours_Bruts!C672</f>
        <v>665.47</v>
      </c>
      <c r="D672" s="20" t="n">
        <f aca="false">IF(B672=B671,(C672-C671)/C671,"")</f>
        <v>-0.00883229073577592</v>
      </c>
      <c r="E672" s="20" t="n">
        <f aca="false">IF(B672=B671,(1+E671)*(1+IF(D672="",0,D672))-1,0)</f>
        <v>-0.0493285714285723</v>
      </c>
      <c r="F672" s="21" t="n">
        <f aca="false">IF(B672=B671,MAX(F671,C672),C672)</f>
        <v>700</v>
      </c>
      <c r="G672" s="20" t="n">
        <f aca="false">(C672-F672)/F672</f>
        <v>-0.0493285714285714</v>
      </c>
      <c r="H672" s="21" t="n">
        <f aca="true">IF(COUNTIFS($B$2:B672,B672)&gt;=20,AVERAGE(OFFSET(C672,-19,0,20,1)),"")</f>
        <v>661.177</v>
      </c>
      <c r="I672" s="21" t="str">
        <f aca="true">IF(COUNTIFS($B$2:B672,B672)&gt;=50,AVERAGE(OFFSET(C672,-49,0,50,1)),"")</f>
        <v/>
      </c>
    </row>
    <row r="673" customFormat="false" ht="15" hidden="false" customHeight="false" outlineLevel="0" collapsed="false">
      <c r="A673" s="17" t="n">
        <f aca="false">Cours_Bruts!A673</f>
        <v>45762</v>
      </c>
      <c r="B673" s="18" t="str">
        <f aca="false">Cours_Bruts!B673</f>
        <v>MC</v>
      </c>
      <c r="C673" s="19" t="n">
        <f aca="false">Cours_Bruts!C673</f>
        <v>685.76</v>
      </c>
      <c r="D673" s="20" t="n">
        <f aca="false">IF(B673=B672,(C673-C672)/C672,"")</f>
        <v>0.0304897290636692</v>
      </c>
      <c r="E673" s="20" t="n">
        <f aca="false">IF(B673=B672,(1+E672)*(1+IF(D673="",0,D673))-1,0)</f>
        <v>-0.0203428571428581</v>
      </c>
      <c r="F673" s="21" t="n">
        <f aca="false">IF(B673=B672,MAX(F672,C673),C673)</f>
        <v>700</v>
      </c>
      <c r="G673" s="20" t="n">
        <f aca="false">(C673-F673)/F673</f>
        <v>-0.0203428571428572</v>
      </c>
      <c r="H673" s="21" t="n">
        <f aca="true">IF(COUNTIFS($B$2:B673,B673)&gt;=20,AVERAGE(OFFSET(C673,-19,0,20,1)),"")</f>
        <v>661.1245</v>
      </c>
      <c r="I673" s="21" t="str">
        <f aca="true">IF(COUNTIFS($B$2:B673,B673)&gt;=50,AVERAGE(OFFSET(C673,-49,0,50,1)),"")</f>
        <v/>
      </c>
    </row>
    <row r="674" customFormat="false" ht="15" hidden="false" customHeight="false" outlineLevel="0" collapsed="false">
      <c r="A674" s="17" t="n">
        <f aca="false">Cours_Bruts!A674</f>
        <v>45763</v>
      </c>
      <c r="B674" s="18" t="str">
        <f aca="false">Cours_Bruts!B674</f>
        <v>MC</v>
      </c>
      <c r="C674" s="19" t="n">
        <f aca="false">Cours_Bruts!C674</f>
        <v>697.95</v>
      </c>
      <c r="D674" s="20" t="n">
        <f aca="false">IF(B674=B673,(C674-C673)/C673,"")</f>
        <v>0.0177758982734485</v>
      </c>
      <c r="E674" s="20" t="n">
        <f aca="false">IF(B674=B673,(1+E673)*(1+IF(D674="",0,D674))-1,0)</f>
        <v>-0.00292857142857228</v>
      </c>
      <c r="F674" s="21" t="n">
        <f aca="false">IF(B674=B673,MAX(F673,C674),C674)</f>
        <v>700</v>
      </c>
      <c r="G674" s="20" t="n">
        <f aca="false">(C674-F674)/F674</f>
        <v>-0.00292857142857136</v>
      </c>
      <c r="H674" s="21" t="n">
        <f aca="true">IF(COUNTIFS($B$2:B674,B674)&gt;=20,AVERAGE(OFFSET(C674,-19,0,20,1)),"")</f>
        <v>661.315</v>
      </c>
      <c r="I674" s="21" t="str">
        <f aca="true">IF(COUNTIFS($B$2:B674,B674)&gt;=50,AVERAGE(OFFSET(C674,-49,0,50,1)),"")</f>
        <v/>
      </c>
    </row>
    <row r="675" customFormat="false" ht="15" hidden="false" customHeight="false" outlineLevel="0" collapsed="false">
      <c r="A675" s="17" t="n">
        <f aca="false">Cours_Bruts!A675</f>
        <v>45764</v>
      </c>
      <c r="B675" s="18" t="str">
        <f aca="false">Cours_Bruts!B675</f>
        <v>MC</v>
      </c>
      <c r="C675" s="19" t="n">
        <f aca="false">Cours_Bruts!C675</f>
        <v>717.19</v>
      </c>
      <c r="D675" s="20" t="n">
        <f aca="false">IF(B675=B674,(C675-C674)/C674,"")</f>
        <v>0.0275664445877212</v>
      </c>
      <c r="E675" s="20" t="n">
        <f aca="false">IF(B675=B674,(1+E674)*(1+IF(D675="",0,D675))-1,0)</f>
        <v>0.0245571428571421</v>
      </c>
      <c r="F675" s="21" t="n">
        <f aca="false">IF(B675=B674,MAX(F674,C675),C675)</f>
        <v>717.19</v>
      </c>
      <c r="G675" s="20" t="n">
        <f aca="false">(C675-F675)/F675</f>
        <v>0</v>
      </c>
      <c r="H675" s="21" t="n">
        <f aca="true">IF(COUNTIFS($B$2:B675,B675)&gt;=20,AVERAGE(OFFSET(C675,-19,0,20,1)),"")</f>
        <v>663.488</v>
      </c>
      <c r="I675" s="21" t="str">
        <f aca="true">IF(COUNTIFS($B$2:B675,B675)&gt;=50,AVERAGE(OFFSET(C675,-49,0,50,1)),"")</f>
        <v/>
      </c>
    </row>
    <row r="676" customFormat="false" ht="15" hidden="false" customHeight="false" outlineLevel="0" collapsed="false">
      <c r="A676" s="17" t="n">
        <f aca="false">Cours_Bruts!A676</f>
        <v>45765</v>
      </c>
      <c r="B676" s="18" t="str">
        <f aca="false">Cours_Bruts!B676</f>
        <v>MC</v>
      </c>
      <c r="C676" s="19" t="n">
        <f aca="false">Cours_Bruts!C676</f>
        <v>710.37</v>
      </c>
      <c r="D676" s="20" t="n">
        <f aca="false">IF(B676=B675,(C676-C675)/C675,"")</f>
        <v>-0.00950933504371234</v>
      </c>
      <c r="E676" s="20" t="n">
        <f aca="false">IF(B676=B675,(1+E675)*(1+IF(D676="",0,D676))-1,0)</f>
        <v>0.0148142857142848</v>
      </c>
      <c r="F676" s="21" t="n">
        <f aca="false">IF(B676=B675,MAX(F675,C676),C676)</f>
        <v>717.19</v>
      </c>
      <c r="G676" s="20" t="n">
        <f aca="false">(C676-F676)/F676</f>
        <v>-0.00950933504371234</v>
      </c>
      <c r="H676" s="21" t="n">
        <f aca="true">IF(COUNTIFS($B$2:B676,B676)&gt;=20,AVERAGE(OFFSET(C676,-19,0,20,1)),"")</f>
        <v>665.457</v>
      </c>
      <c r="I676" s="21" t="str">
        <f aca="true">IF(COUNTIFS($B$2:B676,B676)&gt;=50,AVERAGE(OFFSET(C676,-49,0,50,1)),"")</f>
        <v/>
      </c>
    </row>
    <row r="677" customFormat="false" ht="15" hidden="false" customHeight="false" outlineLevel="0" collapsed="false">
      <c r="A677" s="17" t="n">
        <f aca="false">Cours_Bruts!A677</f>
        <v>45768</v>
      </c>
      <c r="B677" s="18" t="str">
        <f aca="false">Cours_Bruts!B677</f>
        <v>MC</v>
      </c>
      <c r="C677" s="19" t="n">
        <f aca="false">Cours_Bruts!C677</f>
        <v>708.77</v>
      </c>
      <c r="D677" s="20" t="n">
        <f aca="false">IF(B677=B676,(C677-C676)/C676,"")</f>
        <v>-0.0022523473682729</v>
      </c>
      <c r="E677" s="20" t="n">
        <f aca="false">IF(B677=B676,(1+E676)*(1+IF(D677="",0,D677))-1,0)</f>
        <v>0.0125285714285703</v>
      </c>
      <c r="F677" s="21" t="n">
        <f aca="false">IF(B677=B676,MAX(F676,C677),C677)</f>
        <v>717.19</v>
      </c>
      <c r="G677" s="20" t="n">
        <f aca="false">(C677-F677)/F677</f>
        <v>-0.0117402640862255</v>
      </c>
      <c r="H677" s="21" t="n">
        <f aca="true">IF(COUNTIFS($B$2:B677,B677)&gt;=20,AVERAGE(OFFSET(C677,-19,0,20,1)),"")</f>
        <v>667.7985</v>
      </c>
      <c r="I677" s="21" t="str">
        <f aca="true">IF(COUNTIFS($B$2:B677,B677)&gt;=50,AVERAGE(OFFSET(C677,-49,0,50,1)),"")</f>
        <v/>
      </c>
    </row>
    <row r="678" customFormat="false" ht="15" hidden="false" customHeight="false" outlineLevel="0" collapsed="false">
      <c r="A678" s="17" t="n">
        <f aca="false">Cours_Bruts!A678</f>
        <v>45769</v>
      </c>
      <c r="B678" s="18" t="str">
        <f aca="false">Cours_Bruts!B678</f>
        <v>MC</v>
      </c>
      <c r="C678" s="19" t="n">
        <f aca="false">Cours_Bruts!C678</f>
        <v>704.04</v>
      </c>
      <c r="D678" s="20" t="n">
        <f aca="false">IF(B678=B677,(C678-C677)/C677,"")</f>
        <v>-0.00667353302199588</v>
      </c>
      <c r="E678" s="20" t="n">
        <f aca="false">IF(B678=B677,(1+E677)*(1+IF(D678="",0,D678))-1,0)</f>
        <v>0.00577142857142743</v>
      </c>
      <c r="F678" s="21" t="n">
        <f aca="false">IF(B678=B677,MAX(F677,C678),C678)</f>
        <v>717.19</v>
      </c>
      <c r="G678" s="20" t="n">
        <f aca="false">(C678-F678)/F678</f>
        <v>-0.018335448068155</v>
      </c>
      <c r="H678" s="21" t="n">
        <f aca="true">IF(COUNTIFS($B$2:B678,B678)&gt;=20,AVERAGE(OFFSET(C678,-19,0,20,1)),"")</f>
        <v>670.094</v>
      </c>
      <c r="I678" s="21" t="str">
        <f aca="true">IF(COUNTIFS($B$2:B678,B678)&gt;=50,AVERAGE(OFFSET(C678,-49,0,50,1)),"")</f>
        <v/>
      </c>
    </row>
    <row r="679" customFormat="false" ht="15" hidden="false" customHeight="false" outlineLevel="0" collapsed="false">
      <c r="A679" s="17" t="n">
        <f aca="false">Cours_Bruts!A679</f>
        <v>45770</v>
      </c>
      <c r="B679" s="18" t="str">
        <f aca="false">Cours_Bruts!B679</f>
        <v>MC</v>
      </c>
      <c r="C679" s="19" t="n">
        <f aca="false">Cours_Bruts!C679</f>
        <v>716.81</v>
      </c>
      <c r="D679" s="20" t="n">
        <f aca="false">IF(B679=B678,(C679-C678)/C678,"")</f>
        <v>0.0181381739673882</v>
      </c>
      <c r="E679" s="20" t="n">
        <f aca="false">IF(B679=B678,(1+E678)*(1+IF(D679="",0,D679))-1,0)</f>
        <v>0.0240142857142847</v>
      </c>
      <c r="F679" s="21" t="n">
        <f aca="false">IF(B679=B678,MAX(F678,C679),C679)</f>
        <v>717.19</v>
      </c>
      <c r="G679" s="20" t="n">
        <f aca="false">(C679-F679)/F679</f>
        <v>-0.000529845647597023</v>
      </c>
      <c r="H679" s="21" t="n">
        <f aca="true">IF(COUNTIFS($B$2:B679,B679)&gt;=20,AVERAGE(OFFSET(C679,-19,0,20,1)),"")</f>
        <v>673.3625</v>
      </c>
      <c r="I679" s="21" t="str">
        <f aca="true">IF(COUNTIFS($B$2:B679,B679)&gt;=50,AVERAGE(OFFSET(C679,-49,0,50,1)),"")</f>
        <v/>
      </c>
    </row>
    <row r="680" customFormat="false" ht="15" hidden="false" customHeight="false" outlineLevel="0" collapsed="false">
      <c r="A680" s="17" t="n">
        <f aca="false">Cours_Bruts!A680</f>
        <v>45771</v>
      </c>
      <c r="B680" s="18" t="str">
        <f aca="false">Cours_Bruts!B680</f>
        <v>MC</v>
      </c>
      <c r="C680" s="19" t="n">
        <f aca="false">Cours_Bruts!C680</f>
        <v>710.68</v>
      </c>
      <c r="D680" s="20" t="n">
        <f aca="false">IF(B680=B679,(C680-C679)/C679,"")</f>
        <v>-0.00855177801648972</v>
      </c>
      <c r="E680" s="20" t="n">
        <f aca="false">IF(B680=B679,(1+E679)*(1+IF(D680="",0,D680))-1,0)</f>
        <v>0.0152571428571417</v>
      </c>
      <c r="F680" s="21" t="n">
        <f aca="false">IF(B680=B679,MAX(F679,C680),C680)</f>
        <v>717.19</v>
      </c>
      <c r="G680" s="20" t="n">
        <f aca="false">(C680-F680)/F680</f>
        <v>-0.00907709254172549</v>
      </c>
      <c r="H680" s="21" t="n">
        <f aca="true">IF(COUNTIFS($B$2:B680,B680)&gt;=20,AVERAGE(OFFSET(C680,-19,0,20,1)),"")</f>
        <v>676.3355</v>
      </c>
      <c r="I680" s="21" t="str">
        <f aca="true">IF(COUNTIFS($B$2:B680,B680)&gt;=50,AVERAGE(OFFSET(C680,-49,0,50,1)),"")</f>
        <v/>
      </c>
    </row>
    <row r="681" customFormat="false" ht="15" hidden="false" customHeight="false" outlineLevel="0" collapsed="false">
      <c r="A681" s="17" t="n">
        <f aca="false">Cours_Bruts!A681</f>
        <v>45772</v>
      </c>
      <c r="B681" s="18" t="str">
        <f aca="false">Cours_Bruts!B681</f>
        <v>MC</v>
      </c>
      <c r="C681" s="19" t="n">
        <f aca="false">Cours_Bruts!C681</f>
        <v>719.15</v>
      </c>
      <c r="D681" s="20" t="n">
        <f aca="false">IF(B681=B680,(C681-C680)/C680,"")</f>
        <v>0.0119181628862498</v>
      </c>
      <c r="E681" s="20" t="n">
        <f aca="false">IF(B681=B680,(1+E680)*(1+IF(D681="",0,D681))-1,0)</f>
        <v>0.027357142857142</v>
      </c>
      <c r="F681" s="21" t="n">
        <f aca="false">IF(B681=B680,MAX(F680,C681),C681)</f>
        <v>719.15</v>
      </c>
      <c r="G681" s="20" t="n">
        <f aca="false">(C681-F681)/F681</f>
        <v>0</v>
      </c>
      <c r="H681" s="21" t="n">
        <f aca="true">IF(COUNTIFS($B$2:B681,B681)&gt;=20,AVERAGE(OFFSET(C681,-19,0,20,1)),"")</f>
        <v>679.888</v>
      </c>
      <c r="I681" s="21" t="str">
        <f aca="true">IF(COUNTIFS($B$2:B681,B681)&gt;=50,AVERAGE(OFFSET(C681,-49,0,50,1)),"")</f>
        <v/>
      </c>
    </row>
    <row r="682" customFormat="false" ht="15" hidden="false" customHeight="false" outlineLevel="0" collapsed="false">
      <c r="A682" s="17" t="n">
        <f aca="false">Cours_Bruts!A682</f>
        <v>45775</v>
      </c>
      <c r="B682" s="18" t="str">
        <f aca="false">Cours_Bruts!B682</f>
        <v>MC</v>
      </c>
      <c r="C682" s="19" t="n">
        <f aca="false">Cours_Bruts!C682</f>
        <v>727.12</v>
      </c>
      <c r="D682" s="20" t="n">
        <f aca="false">IF(B682=B681,(C682-C681)/C681,"")</f>
        <v>0.0110825279844261</v>
      </c>
      <c r="E682" s="20" t="n">
        <f aca="false">IF(B682=B681,(1+E681)*(1+IF(D682="",0,D682))-1,0)</f>
        <v>0.0387428571428561</v>
      </c>
      <c r="F682" s="21" t="n">
        <f aca="false">IF(B682=B681,MAX(F681,C682),C682)</f>
        <v>727.12</v>
      </c>
      <c r="G682" s="20" t="n">
        <f aca="false">(C682-F682)/F682</f>
        <v>0</v>
      </c>
      <c r="H682" s="21" t="n">
        <f aca="true">IF(COUNTIFS($B$2:B682,B682)&gt;=20,AVERAGE(OFFSET(C682,-19,0,20,1)),"")</f>
        <v>684.0055</v>
      </c>
      <c r="I682" s="21" t="str">
        <f aca="true">IF(COUNTIFS($B$2:B682,B682)&gt;=50,AVERAGE(OFFSET(C682,-49,0,50,1)),"")</f>
        <v/>
      </c>
    </row>
    <row r="683" customFormat="false" ht="15" hidden="false" customHeight="false" outlineLevel="0" collapsed="false">
      <c r="A683" s="17" t="n">
        <f aca="false">Cours_Bruts!A683</f>
        <v>45776</v>
      </c>
      <c r="B683" s="18" t="str">
        <f aca="false">Cours_Bruts!B683</f>
        <v>MC</v>
      </c>
      <c r="C683" s="19" t="n">
        <f aca="false">Cours_Bruts!C683</f>
        <v>726.86</v>
      </c>
      <c r="D683" s="20" t="n">
        <f aca="false">IF(B683=B682,(C683-C682)/C682,"")</f>
        <v>-0.000357575090769049</v>
      </c>
      <c r="E683" s="20" t="n">
        <f aca="false">IF(B683=B682,(1+E682)*(1+IF(D683="",0,D683))-1,0)</f>
        <v>0.0383714285714276</v>
      </c>
      <c r="F683" s="21" t="n">
        <f aca="false">IF(B683=B682,MAX(F682,C683),C683)</f>
        <v>727.12</v>
      </c>
      <c r="G683" s="20" t="n">
        <f aca="false">(C683-F683)/F683</f>
        <v>-0.000357575090769049</v>
      </c>
      <c r="H683" s="21" t="n">
        <f aca="true">IF(COUNTIFS($B$2:B683,B683)&gt;=20,AVERAGE(OFFSET(C683,-19,0,20,1)),"")</f>
        <v>687.535</v>
      </c>
      <c r="I683" s="21" t="str">
        <f aca="true">IF(COUNTIFS($B$2:B683,B683)&gt;=50,AVERAGE(OFFSET(C683,-49,0,50,1)),"")</f>
        <v/>
      </c>
    </row>
    <row r="684" customFormat="false" ht="15" hidden="false" customHeight="false" outlineLevel="0" collapsed="false">
      <c r="A684" s="17" t="n">
        <f aca="false">Cours_Bruts!A684</f>
        <v>45777</v>
      </c>
      <c r="B684" s="18" t="str">
        <f aca="false">Cours_Bruts!B684</f>
        <v>MC</v>
      </c>
      <c r="C684" s="19" t="n">
        <f aca="false">Cours_Bruts!C684</f>
        <v>742.01</v>
      </c>
      <c r="D684" s="20" t="n">
        <f aca="false">IF(B684=B683,(C684-C683)/C683,"")</f>
        <v>0.0208430784470187</v>
      </c>
      <c r="E684" s="20" t="n">
        <f aca="false">IF(B684=B683,(1+E683)*(1+IF(D684="",0,D684))-1,0)</f>
        <v>0.0600142857142847</v>
      </c>
      <c r="F684" s="21" t="n">
        <f aca="false">IF(B684=B683,MAX(F683,C684),C684)</f>
        <v>742.01</v>
      </c>
      <c r="G684" s="20" t="n">
        <f aca="false">(C684-F684)/F684</f>
        <v>0</v>
      </c>
      <c r="H684" s="21" t="n">
        <f aca="true">IF(COUNTIFS($B$2:B684,B684)&gt;=20,AVERAGE(OFFSET(C684,-19,0,20,1)),"")</f>
        <v>691.521</v>
      </c>
      <c r="I684" s="21" t="str">
        <f aca="true">IF(COUNTIFS($B$2:B684,B684)&gt;=50,AVERAGE(OFFSET(C684,-49,0,50,1)),"")</f>
        <v/>
      </c>
    </row>
    <row r="685" customFormat="false" ht="15" hidden="false" customHeight="false" outlineLevel="0" collapsed="false">
      <c r="A685" s="17" t="n">
        <f aca="false">Cours_Bruts!A685</f>
        <v>45778</v>
      </c>
      <c r="B685" s="18" t="str">
        <f aca="false">Cours_Bruts!B685</f>
        <v>MC</v>
      </c>
      <c r="C685" s="19" t="n">
        <f aca="false">Cours_Bruts!C685</f>
        <v>743.56</v>
      </c>
      <c r="D685" s="20" t="n">
        <f aca="false">IF(B685=B684,(C685-C684)/C684,"")</f>
        <v>0.00208892063449274</v>
      </c>
      <c r="E685" s="20" t="n">
        <f aca="false">IF(B685=B684,(1+E684)*(1+IF(D685="",0,D685))-1,0)</f>
        <v>0.0622285714285704</v>
      </c>
      <c r="F685" s="21" t="n">
        <f aca="false">IF(B685=B684,MAX(F684,C685),C685)</f>
        <v>743.56</v>
      </c>
      <c r="G685" s="20" t="n">
        <f aca="false">(C685-F685)/F685</f>
        <v>0</v>
      </c>
      <c r="H685" s="21" t="n">
        <f aca="true">IF(COUNTIFS($B$2:B685,B685)&gt;=20,AVERAGE(OFFSET(C685,-19,0,20,1)),"")</f>
        <v>695.9385</v>
      </c>
      <c r="I685" s="21" t="str">
        <f aca="true">IF(COUNTIFS($B$2:B685,B685)&gt;=50,AVERAGE(OFFSET(C685,-49,0,50,1)),"")</f>
        <v/>
      </c>
    </row>
    <row r="686" customFormat="false" ht="15" hidden="false" customHeight="false" outlineLevel="0" collapsed="false">
      <c r="A686" s="17" t="n">
        <f aca="false">Cours_Bruts!A686</f>
        <v>45779</v>
      </c>
      <c r="B686" s="18" t="str">
        <f aca="false">Cours_Bruts!B686</f>
        <v>MC</v>
      </c>
      <c r="C686" s="19" t="n">
        <f aca="false">Cours_Bruts!C686</f>
        <v>753.62</v>
      </c>
      <c r="D686" s="20" t="n">
        <f aca="false">IF(B686=B685,(C686-C685)/C685,"")</f>
        <v>0.0135295066975094</v>
      </c>
      <c r="E686" s="20" t="n">
        <f aca="false">IF(B686=B685,(1+E685)*(1+IF(D686="",0,D686))-1,0)</f>
        <v>0.0765999999999991</v>
      </c>
      <c r="F686" s="21" t="n">
        <f aca="false">IF(B686=B685,MAX(F685,C686),C686)</f>
        <v>753.62</v>
      </c>
      <c r="G686" s="20" t="n">
        <f aca="false">(C686-F686)/F686</f>
        <v>0</v>
      </c>
      <c r="H686" s="21" t="n">
        <f aca="true">IF(COUNTIFS($B$2:B686,B686)&gt;=20,AVERAGE(OFFSET(C686,-19,0,20,1)),"")</f>
        <v>701.1325</v>
      </c>
      <c r="I686" s="21" t="str">
        <f aca="true">IF(COUNTIFS($B$2:B686,B686)&gt;=50,AVERAGE(OFFSET(C686,-49,0,50,1)),"")</f>
        <v/>
      </c>
    </row>
    <row r="687" customFormat="false" ht="15" hidden="false" customHeight="false" outlineLevel="0" collapsed="false">
      <c r="A687" s="17" t="n">
        <f aca="false">Cours_Bruts!A687</f>
        <v>45782</v>
      </c>
      <c r="B687" s="18" t="str">
        <f aca="false">Cours_Bruts!B687</f>
        <v>MC</v>
      </c>
      <c r="C687" s="19" t="n">
        <f aca="false">Cours_Bruts!C687</f>
        <v>748.05</v>
      </c>
      <c r="D687" s="20" t="n">
        <f aca="false">IF(B687=B686,(C687-C686)/C686,"")</f>
        <v>-0.00739099280804656</v>
      </c>
      <c r="E687" s="20" t="n">
        <f aca="false">IF(B687=B686,(1+E686)*(1+IF(D687="",0,D687))-1,0)</f>
        <v>0.0686428571428561</v>
      </c>
      <c r="F687" s="21" t="n">
        <f aca="false">IF(B687=B686,MAX(F686,C687),C687)</f>
        <v>753.62</v>
      </c>
      <c r="G687" s="20" t="n">
        <f aca="false">(C687-F687)/F687</f>
        <v>-0.00739099280804656</v>
      </c>
      <c r="H687" s="21" t="n">
        <f aca="true">IF(COUNTIFS($B$2:B687,B687)&gt;=20,AVERAGE(OFFSET(C687,-19,0,20,1)),"")</f>
        <v>705.7835</v>
      </c>
      <c r="I687" s="21" t="str">
        <f aca="true">IF(COUNTIFS($B$2:B687,B687)&gt;=50,AVERAGE(OFFSET(C687,-49,0,50,1)),"")</f>
        <v/>
      </c>
    </row>
    <row r="688" customFormat="false" ht="15" hidden="false" customHeight="false" outlineLevel="0" collapsed="false">
      <c r="A688" s="17" t="n">
        <f aca="false">Cours_Bruts!A688</f>
        <v>45783</v>
      </c>
      <c r="B688" s="18" t="str">
        <f aca="false">Cours_Bruts!B688</f>
        <v>MC</v>
      </c>
      <c r="C688" s="19" t="n">
        <f aca="false">Cours_Bruts!C688</f>
        <v>739.83</v>
      </c>
      <c r="D688" s="20" t="n">
        <f aca="false">IF(B688=B687,(C688-C687)/C687,"")</f>
        <v>-0.010988570282735</v>
      </c>
      <c r="E688" s="20" t="n">
        <f aca="false">IF(B688=B687,(1+E687)*(1+IF(D688="",0,D688))-1,0)</f>
        <v>0.0568999999999991</v>
      </c>
      <c r="F688" s="21" t="n">
        <f aca="false">IF(B688=B687,MAX(F687,C688),C688)</f>
        <v>753.62</v>
      </c>
      <c r="G688" s="20" t="n">
        <f aca="false">(C688-F688)/F688</f>
        <v>-0.0182983466468512</v>
      </c>
      <c r="H688" s="21" t="n">
        <f aca="true">IF(COUNTIFS($B$2:B688,B688)&gt;=20,AVERAGE(OFFSET(C688,-19,0,20,1)),"")</f>
        <v>709.7575</v>
      </c>
      <c r="I688" s="21" t="str">
        <f aca="true">IF(COUNTIFS($B$2:B688,B688)&gt;=50,AVERAGE(OFFSET(C688,-49,0,50,1)),"")</f>
        <v/>
      </c>
    </row>
    <row r="689" customFormat="false" ht="15" hidden="false" customHeight="false" outlineLevel="0" collapsed="false">
      <c r="A689" s="17" t="n">
        <f aca="false">Cours_Bruts!A689</f>
        <v>45784</v>
      </c>
      <c r="B689" s="18" t="str">
        <f aca="false">Cours_Bruts!B689</f>
        <v>MC</v>
      </c>
      <c r="C689" s="19" t="n">
        <f aca="false">Cours_Bruts!C689</f>
        <v>748.64</v>
      </c>
      <c r="D689" s="20" t="n">
        <f aca="false">IF(B689=B688,(C689-C688)/C688,"")</f>
        <v>0.0119081410594325</v>
      </c>
      <c r="E689" s="20" t="n">
        <f aca="false">IF(B689=B688,(1+E688)*(1+IF(D689="",0,D689))-1,0)</f>
        <v>0.0694857142857135</v>
      </c>
      <c r="F689" s="21" t="n">
        <f aca="false">IF(B689=B688,MAX(F688,C689),C689)</f>
        <v>753.62</v>
      </c>
      <c r="G689" s="20" t="n">
        <f aca="false">(C689-F689)/F689</f>
        <v>-0.00660810488044375</v>
      </c>
      <c r="H689" s="21" t="n">
        <f aca="true">IF(COUNTIFS($B$2:B689,B689)&gt;=20,AVERAGE(OFFSET(C689,-19,0,20,1)),"")</f>
        <v>714.473</v>
      </c>
      <c r="I689" s="21" t="str">
        <f aca="true">IF(COUNTIFS($B$2:B689,B689)&gt;=50,AVERAGE(OFFSET(C689,-49,0,50,1)),"")</f>
        <v/>
      </c>
    </row>
    <row r="690" customFormat="false" ht="15" hidden="false" customHeight="false" outlineLevel="0" collapsed="false">
      <c r="A690" s="17" t="n">
        <f aca="false">Cours_Bruts!A690</f>
        <v>45785</v>
      </c>
      <c r="B690" s="18" t="str">
        <f aca="false">Cours_Bruts!B690</f>
        <v>MC</v>
      </c>
      <c r="C690" s="19" t="n">
        <f aca="false">Cours_Bruts!C690</f>
        <v>754.02</v>
      </c>
      <c r="D690" s="20" t="n">
        <f aca="false">IF(B690=B689,(C690-C689)/C689,"")</f>
        <v>0.00718636460782218</v>
      </c>
      <c r="E690" s="20" t="n">
        <f aca="false">IF(B690=B689,(1+E689)*(1+IF(D690="",0,D690))-1,0)</f>
        <v>0.0771714285714276</v>
      </c>
      <c r="F690" s="21" t="n">
        <f aca="false">IF(B690=B689,MAX(F689,C690),C690)</f>
        <v>754.02</v>
      </c>
      <c r="G690" s="20" t="n">
        <f aca="false">(C690-F690)/F690</f>
        <v>0</v>
      </c>
      <c r="H690" s="21" t="n">
        <f aca="true">IF(COUNTIFS($B$2:B690,B690)&gt;=20,AVERAGE(OFFSET(C690,-19,0,20,1)),"")</f>
        <v>719.565</v>
      </c>
      <c r="I690" s="21" t="str">
        <f aca="true">IF(COUNTIFS($B$2:B690,B690)&gt;=50,AVERAGE(OFFSET(C690,-49,0,50,1)),"")</f>
        <v/>
      </c>
    </row>
    <row r="691" customFormat="false" ht="15" hidden="false" customHeight="false" outlineLevel="0" collapsed="false">
      <c r="A691" s="17" t="n">
        <f aca="false">Cours_Bruts!A691</f>
        <v>45786</v>
      </c>
      <c r="B691" s="18" t="str">
        <f aca="false">Cours_Bruts!B691</f>
        <v>MC</v>
      </c>
      <c r="C691" s="19" t="n">
        <f aca="false">Cours_Bruts!C691</f>
        <v>757.2</v>
      </c>
      <c r="D691" s="20" t="n">
        <f aca="false">IF(B691=B690,(C691-C690)/C690,"")</f>
        <v>0.0042173947640647</v>
      </c>
      <c r="E691" s="20" t="n">
        <f aca="false">IF(B691=B690,(1+E690)*(1+IF(D691="",0,D691))-1,0)</f>
        <v>0.0817142857142847</v>
      </c>
      <c r="F691" s="21" t="n">
        <f aca="false">IF(B691=B690,MAX(F690,C691),C691)</f>
        <v>757.2</v>
      </c>
      <c r="G691" s="20" t="n">
        <f aca="false">(C691-F691)/F691</f>
        <v>0</v>
      </c>
      <c r="H691" s="21" t="n">
        <f aca="true">IF(COUNTIFS($B$2:B691,B691)&gt;=20,AVERAGE(OFFSET(C691,-19,0,20,1)),"")</f>
        <v>723.855</v>
      </c>
      <c r="I691" s="21" t="n">
        <f aca="true">IF(COUNTIFS($B$2:B691,B691)&gt;=50,AVERAGE(OFFSET(C691,-49,0,50,1)),"")</f>
        <v>691.1124</v>
      </c>
    </row>
    <row r="692" customFormat="false" ht="15" hidden="false" customHeight="false" outlineLevel="0" collapsed="false">
      <c r="A692" s="17" t="n">
        <f aca="false">Cours_Bruts!A692</f>
        <v>45789</v>
      </c>
      <c r="B692" s="18" t="str">
        <f aca="false">Cours_Bruts!B692</f>
        <v>MC</v>
      </c>
      <c r="C692" s="19" t="n">
        <f aca="false">Cours_Bruts!C692</f>
        <v>753.41</v>
      </c>
      <c r="D692" s="20" t="n">
        <f aca="false">IF(B692=B691,(C692-C691)/C691,"")</f>
        <v>-0.00500528262017971</v>
      </c>
      <c r="E692" s="20" t="n">
        <f aca="false">IF(B692=B691,(1+E691)*(1+IF(D692="",0,D692))-1,0)</f>
        <v>0.0762999999999989</v>
      </c>
      <c r="F692" s="21" t="n">
        <f aca="false">IF(B692=B691,MAX(F691,C692),C692)</f>
        <v>757.2</v>
      </c>
      <c r="G692" s="20" t="n">
        <f aca="false">(C692-F692)/F692</f>
        <v>-0.00500528262017971</v>
      </c>
      <c r="H692" s="21" t="n">
        <f aca="true">IF(COUNTIFS($B$2:B692,B692)&gt;=20,AVERAGE(OFFSET(C692,-19,0,20,1)),"")</f>
        <v>728.252</v>
      </c>
      <c r="I692" s="21" t="n">
        <f aca="true">IF(COUNTIFS($B$2:B692,B692)&gt;=50,AVERAGE(OFFSET(C692,-49,0,50,1)),"")</f>
        <v>692.1806</v>
      </c>
    </row>
    <row r="693" customFormat="false" ht="15" hidden="false" customHeight="false" outlineLevel="0" collapsed="false">
      <c r="A693" s="17" t="n">
        <f aca="false">Cours_Bruts!A693</f>
        <v>45790</v>
      </c>
      <c r="B693" s="18" t="str">
        <f aca="false">Cours_Bruts!B693</f>
        <v>MC</v>
      </c>
      <c r="C693" s="19" t="n">
        <f aca="false">Cours_Bruts!C693</f>
        <v>772.09</v>
      </c>
      <c r="D693" s="20" t="n">
        <f aca="false">IF(B693=B692,(C693-C692)/C692,"")</f>
        <v>0.0247939369002271</v>
      </c>
      <c r="E693" s="20" t="n">
        <f aca="false">IF(B693=B692,(1+E692)*(1+IF(D693="",0,D693))-1,0)</f>
        <v>0.102985714285713</v>
      </c>
      <c r="F693" s="21" t="n">
        <f aca="false">IF(B693=B692,MAX(F692,C693),C693)</f>
        <v>772.09</v>
      </c>
      <c r="G693" s="20" t="n">
        <f aca="false">(C693-F693)/F693</f>
        <v>0</v>
      </c>
      <c r="H693" s="21" t="n">
        <f aca="true">IF(COUNTIFS($B$2:B693,B693)&gt;=20,AVERAGE(OFFSET(C693,-19,0,20,1)),"")</f>
        <v>732.5685</v>
      </c>
      <c r="I693" s="21" t="n">
        <f aca="true">IF(COUNTIFS($B$2:B693,B693)&gt;=50,AVERAGE(OFFSET(C693,-49,0,50,1)),"")</f>
        <v>693.676</v>
      </c>
    </row>
    <row r="694" customFormat="false" ht="15" hidden="false" customHeight="false" outlineLevel="0" collapsed="false">
      <c r="A694" s="17" t="n">
        <f aca="false">Cours_Bruts!A694</f>
        <v>45791</v>
      </c>
      <c r="B694" s="18" t="str">
        <f aca="false">Cours_Bruts!B694</f>
        <v>MC</v>
      </c>
      <c r="C694" s="19" t="n">
        <f aca="false">Cours_Bruts!C694</f>
        <v>758.82</v>
      </c>
      <c r="D694" s="20" t="n">
        <f aca="false">IF(B694=B693,(C694-C693)/C693,"")</f>
        <v>-0.0171871154917173</v>
      </c>
      <c r="E694" s="20" t="n">
        <f aca="false">IF(B694=B693,(1+E693)*(1+IF(D694="",0,D694))-1,0)</f>
        <v>0.0840285714285705</v>
      </c>
      <c r="F694" s="21" t="n">
        <f aca="false">IF(B694=B693,MAX(F693,C694),C694)</f>
        <v>772.09</v>
      </c>
      <c r="G694" s="20" t="n">
        <f aca="false">(C694-F694)/F694</f>
        <v>-0.0171871154917173</v>
      </c>
      <c r="H694" s="21" t="n">
        <f aca="true">IF(COUNTIFS($B$2:B694,B694)&gt;=20,AVERAGE(OFFSET(C694,-19,0,20,1)),"")</f>
        <v>735.612</v>
      </c>
      <c r="I694" s="21" t="n">
        <f aca="true">IF(COUNTIFS($B$2:B694,B694)&gt;=50,AVERAGE(OFFSET(C694,-49,0,50,1)),"")</f>
        <v>695.1572</v>
      </c>
    </row>
    <row r="695" customFormat="false" ht="15" hidden="false" customHeight="false" outlineLevel="0" collapsed="false">
      <c r="A695" s="17" t="n">
        <f aca="false">Cours_Bruts!A695</f>
        <v>45792</v>
      </c>
      <c r="B695" s="18" t="str">
        <f aca="false">Cours_Bruts!B695</f>
        <v>MC</v>
      </c>
      <c r="C695" s="19" t="n">
        <f aca="false">Cours_Bruts!C695</f>
        <v>745.12</v>
      </c>
      <c r="D695" s="20" t="n">
        <f aca="false">IF(B695=B694,(C695-C694)/C694,"")</f>
        <v>-0.018054347539601</v>
      </c>
      <c r="E695" s="20" t="n">
        <f aca="false">IF(B695=B694,(1+E694)*(1+IF(D695="",0,D695))-1,0)</f>
        <v>0.0644571428571419</v>
      </c>
      <c r="F695" s="21" t="n">
        <f aca="false">IF(B695=B694,MAX(F694,C695),C695)</f>
        <v>772.09</v>
      </c>
      <c r="G695" s="20" t="n">
        <f aca="false">(C695-F695)/F695</f>
        <v>-0.0349311608750276</v>
      </c>
      <c r="H695" s="21" t="n">
        <f aca="true">IF(COUNTIFS($B$2:B695,B695)&gt;=20,AVERAGE(OFFSET(C695,-19,0,20,1)),"")</f>
        <v>737.0085</v>
      </c>
      <c r="I695" s="21" t="n">
        <f aca="true">IF(COUNTIFS($B$2:B695,B695)&gt;=50,AVERAGE(OFFSET(C695,-49,0,50,1)),"")</f>
        <v>696.5192</v>
      </c>
    </row>
    <row r="696" customFormat="false" ht="15" hidden="false" customHeight="false" outlineLevel="0" collapsed="false">
      <c r="A696" s="17" t="n">
        <f aca="false">Cours_Bruts!A696</f>
        <v>45793</v>
      </c>
      <c r="B696" s="18" t="str">
        <f aca="false">Cours_Bruts!B696</f>
        <v>MC</v>
      </c>
      <c r="C696" s="19" t="n">
        <f aca="false">Cours_Bruts!C696</f>
        <v>756.47</v>
      </c>
      <c r="D696" s="20" t="n">
        <f aca="false">IF(B696=B695,(C696-C695)/C695,"")</f>
        <v>0.0152324457805454</v>
      </c>
      <c r="E696" s="20" t="n">
        <f aca="false">IF(B696=B695,(1+E695)*(1+IF(D696="",0,D696))-1,0)</f>
        <v>0.0806714285714276</v>
      </c>
      <c r="F696" s="21" t="n">
        <f aca="false">IF(B696=B695,MAX(F695,C696),C696)</f>
        <v>772.09</v>
      </c>
      <c r="G696" s="20" t="n">
        <f aca="false">(C696-F696)/F696</f>
        <v>-0.0202308021085625</v>
      </c>
      <c r="H696" s="21" t="n">
        <f aca="true">IF(COUNTIFS($B$2:B696,B696)&gt;=20,AVERAGE(OFFSET(C696,-19,0,20,1)),"")</f>
        <v>739.3135</v>
      </c>
      <c r="I696" s="21" t="n">
        <f aca="true">IF(COUNTIFS($B$2:B696,B696)&gt;=50,AVERAGE(OFFSET(C696,-49,0,50,1)),"")</f>
        <v>698.3008</v>
      </c>
    </row>
    <row r="697" customFormat="false" ht="15" hidden="false" customHeight="false" outlineLevel="0" collapsed="false">
      <c r="A697" s="17" t="n">
        <f aca="false">Cours_Bruts!A697</f>
        <v>45796</v>
      </c>
      <c r="B697" s="18" t="str">
        <f aca="false">Cours_Bruts!B697</f>
        <v>MC</v>
      </c>
      <c r="C697" s="19" t="n">
        <f aca="false">Cours_Bruts!C697</f>
        <v>767.02</v>
      </c>
      <c r="D697" s="20" t="n">
        <f aca="false">IF(B697=B696,(C697-C696)/C696,"")</f>
        <v>0.0139463561013655</v>
      </c>
      <c r="E697" s="20" t="n">
        <f aca="false">IF(B697=B696,(1+E696)*(1+IF(D697="",0,D697))-1,0)</f>
        <v>0.0957428571428562</v>
      </c>
      <c r="F697" s="21" t="n">
        <f aca="false">IF(B697=B696,MAX(F696,C697),C697)</f>
        <v>772.09</v>
      </c>
      <c r="G697" s="20" t="n">
        <f aca="false">(C697-F697)/F697</f>
        <v>-0.00656659197761925</v>
      </c>
      <c r="H697" s="21" t="n">
        <f aca="true">IF(COUNTIFS($B$2:B697,B697)&gt;=20,AVERAGE(OFFSET(C697,-19,0,20,1)),"")</f>
        <v>742.226</v>
      </c>
      <c r="I697" s="21" t="n">
        <f aca="true">IF(COUNTIFS($B$2:B697,B697)&gt;=50,AVERAGE(OFFSET(C697,-49,0,50,1)),"")</f>
        <v>700.1632</v>
      </c>
    </row>
    <row r="698" customFormat="false" ht="15" hidden="false" customHeight="false" outlineLevel="0" collapsed="false">
      <c r="A698" s="17" t="n">
        <f aca="false">Cours_Bruts!A698</f>
        <v>45797</v>
      </c>
      <c r="B698" s="18" t="str">
        <f aca="false">Cours_Bruts!B698</f>
        <v>MC</v>
      </c>
      <c r="C698" s="19" t="n">
        <f aca="false">Cours_Bruts!C698</f>
        <v>771.6</v>
      </c>
      <c r="D698" s="20" t="n">
        <f aca="false">IF(B698=B697,(C698-C697)/C697,"")</f>
        <v>0.00597116111705046</v>
      </c>
      <c r="E698" s="20" t="n">
        <f aca="false">IF(B698=B697,(1+E697)*(1+IF(D698="",0,D698))-1,0)</f>
        <v>0.102285714285713</v>
      </c>
      <c r="F698" s="21" t="n">
        <f aca="false">IF(B698=B697,MAX(F697,C698),C698)</f>
        <v>772.09</v>
      </c>
      <c r="G698" s="20" t="n">
        <f aca="false">(C698-F698)/F698</f>
        <v>-0.000634641039257093</v>
      </c>
      <c r="H698" s="21" t="n">
        <f aca="true">IF(COUNTIFS($B$2:B698,B698)&gt;=20,AVERAGE(OFFSET(C698,-19,0,20,1)),"")</f>
        <v>745.604</v>
      </c>
      <c r="I698" s="21" t="n">
        <f aca="true">IF(COUNTIFS($B$2:B698,B698)&gt;=50,AVERAGE(OFFSET(C698,-49,0,50,1)),"")</f>
        <v>701.891</v>
      </c>
    </row>
    <row r="699" customFormat="false" ht="15" hidden="false" customHeight="false" outlineLevel="0" collapsed="false">
      <c r="A699" s="17" t="n">
        <f aca="false">Cours_Bruts!A699</f>
        <v>45798</v>
      </c>
      <c r="B699" s="18" t="str">
        <f aca="false">Cours_Bruts!B699</f>
        <v>MC</v>
      </c>
      <c r="C699" s="19" t="n">
        <f aca="false">Cours_Bruts!C699</f>
        <v>768.4</v>
      </c>
      <c r="D699" s="20" t="n">
        <f aca="false">IF(B699=B698,(C699-C698)/C698,"")</f>
        <v>-0.00414722654224993</v>
      </c>
      <c r="E699" s="20" t="n">
        <f aca="false">IF(B699=B698,(1+E698)*(1+IF(D699="",0,D699))-1,0)</f>
        <v>0.0977142857142848</v>
      </c>
      <c r="F699" s="21" t="n">
        <f aca="false">IF(B699=B698,MAX(F698,C699),C699)</f>
        <v>772.09</v>
      </c>
      <c r="G699" s="20" t="n">
        <f aca="false">(C699-F699)/F699</f>
        <v>-0.00477923558134422</v>
      </c>
      <c r="H699" s="21" t="n">
        <f aca="true">IF(COUNTIFS($B$2:B699,B699)&gt;=20,AVERAGE(OFFSET(C699,-19,0,20,1)),"")</f>
        <v>748.1835</v>
      </c>
      <c r="I699" s="21" t="n">
        <f aca="true">IF(COUNTIFS($B$2:B699,B699)&gt;=50,AVERAGE(OFFSET(C699,-49,0,50,1)),"")</f>
        <v>703.5698</v>
      </c>
    </row>
    <row r="700" customFormat="false" ht="15" hidden="false" customHeight="false" outlineLevel="0" collapsed="false">
      <c r="A700" s="17" t="n">
        <f aca="false">Cours_Bruts!A700</f>
        <v>45799</v>
      </c>
      <c r="B700" s="18" t="str">
        <f aca="false">Cours_Bruts!B700</f>
        <v>MC</v>
      </c>
      <c r="C700" s="19" t="n">
        <f aca="false">Cours_Bruts!C700</f>
        <v>774.79</v>
      </c>
      <c r="D700" s="20" t="n">
        <f aca="false">IF(B700=B699,(C700-C699)/C699,"")</f>
        <v>0.00831598125976052</v>
      </c>
      <c r="E700" s="20" t="n">
        <f aca="false">IF(B700=B699,(1+E699)*(1+IF(D700="",0,D700))-1,0)</f>
        <v>0.106842857142856</v>
      </c>
      <c r="F700" s="21" t="n">
        <f aca="false">IF(B700=B699,MAX(F699,C700),C700)</f>
        <v>774.79</v>
      </c>
      <c r="G700" s="20" t="n">
        <f aca="false">(C700-F700)/F700</f>
        <v>0</v>
      </c>
      <c r="H700" s="21" t="n">
        <f aca="true">IF(COUNTIFS($B$2:B700,B700)&gt;=20,AVERAGE(OFFSET(C700,-19,0,20,1)),"")</f>
        <v>751.389</v>
      </c>
      <c r="I700" s="21" t="n">
        <f aca="true">IF(COUNTIFS($B$2:B700,B700)&gt;=50,AVERAGE(OFFSET(C700,-49,0,50,1)),"")</f>
        <v>705.3214</v>
      </c>
    </row>
    <row r="701" customFormat="false" ht="15" hidden="false" customHeight="false" outlineLevel="0" collapsed="false">
      <c r="A701" s="17" t="n">
        <f aca="false">Cours_Bruts!A701</f>
        <v>45800</v>
      </c>
      <c r="B701" s="18" t="str">
        <f aca="false">Cours_Bruts!B701</f>
        <v>MC</v>
      </c>
      <c r="C701" s="19" t="n">
        <f aca="false">Cours_Bruts!C701</f>
        <v>796.09</v>
      </c>
      <c r="D701" s="20" t="n">
        <f aca="false">IF(B701=B700,(C701-C700)/C700,"")</f>
        <v>0.0274913202287072</v>
      </c>
      <c r="E701" s="20" t="n">
        <f aca="false">IF(B701=B700,(1+E700)*(1+IF(D701="",0,D701))-1,0)</f>
        <v>0.137271428571428</v>
      </c>
      <c r="F701" s="21" t="n">
        <f aca="false">IF(B701=B700,MAX(F700,C701),C701)</f>
        <v>796.09</v>
      </c>
      <c r="G701" s="20" t="n">
        <f aca="false">(C701-F701)/F701</f>
        <v>0</v>
      </c>
      <c r="H701" s="21" t="n">
        <f aca="true">IF(COUNTIFS($B$2:B701,B701)&gt;=20,AVERAGE(OFFSET(C701,-19,0,20,1)),"")</f>
        <v>755.236</v>
      </c>
      <c r="I701" s="21" t="n">
        <f aca="true">IF(COUNTIFS($B$2:B701,B701)&gt;=50,AVERAGE(OFFSET(C701,-49,0,50,1)),"")</f>
        <v>707.5266</v>
      </c>
    </row>
    <row r="702" customFormat="false" ht="15" hidden="false" customHeight="false" outlineLevel="0" collapsed="false">
      <c r="A702" s="17" t="n">
        <f aca="false">Cours_Bruts!A702</f>
        <v>45803</v>
      </c>
      <c r="B702" s="18" t="str">
        <f aca="false">Cours_Bruts!B702</f>
        <v>MC</v>
      </c>
      <c r="C702" s="19" t="n">
        <f aca="false">Cours_Bruts!C702</f>
        <v>827.95</v>
      </c>
      <c r="D702" s="20" t="n">
        <f aca="false">IF(B702=B701,(C702-C701)/C701,"")</f>
        <v>0.0400206006858521</v>
      </c>
      <c r="E702" s="20" t="n">
        <f aca="false">IF(B702=B701,(1+E701)*(1+IF(D702="",0,D702))-1,0)</f>
        <v>0.182785714285713</v>
      </c>
      <c r="F702" s="21" t="n">
        <f aca="false">IF(B702=B701,MAX(F701,C702),C702)</f>
        <v>827.95</v>
      </c>
      <c r="G702" s="20" t="n">
        <f aca="false">(C702-F702)/F702</f>
        <v>0</v>
      </c>
      <c r="H702" s="21" t="n">
        <f aca="true">IF(COUNTIFS($B$2:B702,B702)&gt;=20,AVERAGE(OFFSET(C702,-19,0,20,1)),"")</f>
        <v>760.2775</v>
      </c>
      <c r="I702" s="21" t="n">
        <f aca="true">IF(COUNTIFS($B$2:B702,B702)&gt;=50,AVERAGE(OFFSET(C702,-49,0,50,1)),"")</f>
        <v>710.5386</v>
      </c>
    </row>
    <row r="703" customFormat="false" ht="15" hidden="false" customHeight="false" outlineLevel="0" collapsed="false">
      <c r="A703" s="17" t="n">
        <f aca="false">Cours_Bruts!A703</f>
        <v>45804</v>
      </c>
      <c r="B703" s="18" t="str">
        <f aca="false">Cours_Bruts!B703</f>
        <v>MC</v>
      </c>
      <c r="C703" s="19" t="n">
        <f aca="false">Cours_Bruts!C703</f>
        <v>806.68</v>
      </c>
      <c r="D703" s="20" t="n">
        <f aca="false">IF(B703=B702,(C703-C702)/C702,"")</f>
        <v>-0.0256899571230148</v>
      </c>
      <c r="E703" s="20" t="n">
        <f aca="false">IF(B703=B702,(1+E702)*(1+IF(D703="",0,D703))-1,0)</f>
        <v>0.152399999999999</v>
      </c>
      <c r="F703" s="21" t="n">
        <f aca="false">IF(B703=B702,MAX(F702,C703),C703)</f>
        <v>827.95</v>
      </c>
      <c r="G703" s="20" t="n">
        <f aca="false">(C703-F703)/F703</f>
        <v>-0.0256899571230148</v>
      </c>
      <c r="H703" s="21" t="n">
        <f aca="true">IF(COUNTIFS($B$2:B703,B703)&gt;=20,AVERAGE(OFFSET(C703,-19,0,20,1)),"")</f>
        <v>764.2685</v>
      </c>
      <c r="I703" s="21" t="n">
        <f aca="true">IF(COUNTIFS($B$2:B703,B703)&gt;=50,AVERAGE(OFFSET(C703,-49,0,50,1)),"")</f>
        <v>712.936</v>
      </c>
    </row>
    <row r="704" customFormat="false" ht="15" hidden="false" customHeight="false" outlineLevel="0" collapsed="false">
      <c r="A704" s="17" t="n">
        <f aca="false">Cours_Bruts!A704</f>
        <v>45805</v>
      </c>
      <c r="B704" s="18" t="str">
        <f aca="false">Cours_Bruts!B704</f>
        <v>MC</v>
      </c>
      <c r="C704" s="19" t="n">
        <f aca="false">Cours_Bruts!C704</f>
        <v>801.67</v>
      </c>
      <c r="D704" s="20" t="n">
        <f aca="false">IF(B704=B703,(C704-C703)/C703,"")</f>
        <v>-0.00621064114642732</v>
      </c>
      <c r="E704" s="20" t="n">
        <f aca="false">IF(B704=B703,(1+E703)*(1+IF(D704="",0,D704))-1,0)</f>
        <v>0.145242857142856</v>
      </c>
      <c r="F704" s="21" t="n">
        <f aca="false">IF(B704=B703,MAX(F703,C704),C704)</f>
        <v>827.95</v>
      </c>
      <c r="G704" s="20" t="n">
        <f aca="false">(C704-F704)/F704</f>
        <v>-0.031741047164684</v>
      </c>
      <c r="H704" s="21" t="n">
        <f aca="true">IF(COUNTIFS($B$2:B704,B704)&gt;=20,AVERAGE(OFFSET(C704,-19,0,20,1)),"")</f>
        <v>767.2515</v>
      </c>
      <c r="I704" s="21" t="n">
        <f aca="true">IF(COUNTIFS($B$2:B704,B704)&gt;=50,AVERAGE(OFFSET(C704,-49,0,50,1)),"")</f>
        <v>715.0866</v>
      </c>
    </row>
    <row r="705" customFormat="false" ht="15" hidden="false" customHeight="false" outlineLevel="0" collapsed="false">
      <c r="A705" s="17" t="n">
        <f aca="false">Cours_Bruts!A705</f>
        <v>45806</v>
      </c>
      <c r="B705" s="18" t="str">
        <f aca="false">Cours_Bruts!B705</f>
        <v>MC</v>
      </c>
      <c r="C705" s="19" t="n">
        <f aca="false">Cours_Bruts!C705</f>
        <v>795.91</v>
      </c>
      <c r="D705" s="20" t="n">
        <f aca="false">IF(B705=B704,(C705-C704)/C704,"")</f>
        <v>-0.00718500130976585</v>
      </c>
      <c r="E705" s="20" t="n">
        <f aca="false">IF(B705=B704,(1+E704)*(1+IF(D705="",0,D705))-1,0)</f>
        <v>0.137014285714285</v>
      </c>
      <c r="F705" s="21" t="n">
        <f aca="false">IF(B705=B704,MAX(F704,C705),C705)</f>
        <v>827.95</v>
      </c>
      <c r="G705" s="20" t="n">
        <f aca="false">(C705-F705)/F705</f>
        <v>-0.0386979890089982</v>
      </c>
      <c r="H705" s="21" t="n">
        <f aca="true">IF(COUNTIFS($B$2:B705,B705)&gt;=20,AVERAGE(OFFSET(C705,-19,0,20,1)),"")</f>
        <v>769.869</v>
      </c>
      <c r="I705" s="21" t="n">
        <f aca="true">IF(COUNTIFS($B$2:B705,B705)&gt;=50,AVERAGE(OFFSET(C705,-49,0,50,1)),"")</f>
        <v>717.5302</v>
      </c>
    </row>
    <row r="706" customFormat="false" ht="15" hidden="false" customHeight="false" outlineLevel="0" collapsed="false">
      <c r="A706" s="17" t="n">
        <f aca="false">Cours_Bruts!A706</f>
        <v>45807</v>
      </c>
      <c r="B706" s="18" t="str">
        <f aca="false">Cours_Bruts!B706</f>
        <v>MC</v>
      </c>
      <c r="C706" s="19" t="n">
        <f aca="false">Cours_Bruts!C706</f>
        <v>816.61</v>
      </c>
      <c r="D706" s="20" t="n">
        <f aca="false">IF(B706=B705,(C706-C705)/C705,"")</f>
        <v>0.0260079657247679</v>
      </c>
      <c r="E706" s="20" t="n">
        <f aca="false">IF(B706=B705,(1+E705)*(1+IF(D706="",0,D706))-1,0)</f>
        <v>0.166585714285713</v>
      </c>
      <c r="F706" s="21" t="n">
        <f aca="false">IF(B706=B705,MAX(F705,C706),C706)</f>
        <v>827.95</v>
      </c>
      <c r="G706" s="20" t="n">
        <f aca="false">(C706-F706)/F706</f>
        <v>-0.0136964792559938</v>
      </c>
      <c r="H706" s="21" t="n">
        <f aca="true">IF(COUNTIFS($B$2:B706,B706)&gt;=20,AVERAGE(OFFSET(C706,-19,0,20,1)),"")</f>
        <v>773.0185</v>
      </c>
      <c r="I706" s="21" t="n">
        <f aca="true">IF(COUNTIFS($B$2:B706,B706)&gt;=50,AVERAGE(OFFSET(C706,-49,0,50,1)),"")</f>
        <v>720.4426</v>
      </c>
    </row>
    <row r="707" customFormat="false" ht="15" hidden="false" customHeight="false" outlineLevel="0" collapsed="false">
      <c r="A707" s="17" t="n">
        <f aca="false">Cours_Bruts!A707</f>
        <v>45810</v>
      </c>
      <c r="B707" s="18" t="str">
        <f aca="false">Cours_Bruts!B707</f>
        <v>MC</v>
      </c>
      <c r="C707" s="19" t="n">
        <f aca="false">Cours_Bruts!C707</f>
        <v>785.03</v>
      </c>
      <c r="D707" s="20" t="n">
        <f aca="false">IF(B707=B706,(C707-C706)/C706,"")</f>
        <v>-0.0386720711233025</v>
      </c>
      <c r="E707" s="20" t="n">
        <f aca="false">IF(B707=B706,(1+E706)*(1+IF(D707="",0,D707))-1,0)</f>
        <v>0.121471428571428</v>
      </c>
      <c r="F707" s="21" t="n">
        <f aca="false">IF(B707=B706,MAX(F706,C707),C707)</f>
        <v>827.95</v>
      </c>
      <c r="G707" s="20" t="n">
        <f aca="false">(C707-F707)/F707</f>
        <v>-0.0518388791593696</v>
      </c>
      <c r="H707" s="21" t="n">
        <f aca="true">IF(COUNTIFS($B$2:B707,B707)&gt;=20,AVERAGE(OFFSET(C707,-19,0,20,1)),"")</f>
        <v>774.8675</v>
      </c>
      <c r="I707" s="21" t="n">
        <f aca="true">IF(COUNTIFS($B$2:B707,B707)&gt;=50,AVERAGE(OFFSET(C707,-49,0,50,1)),"")</f>
        <v>722.9044</v>
      </c>
    </row>
    <row r="708" customFormat="false" ht="15" hidden="false" customHeight="false" outlineLevel="0" collapsed="false">
      <c r="A708" s="17" t="n">
        <f aca="false">Cours_Bruts!A708</f>
        <v>45811</v>
      </c>
      <c r="B708" s="18" t="str">
        <f aca="false">Cours_Bruts!B708</f>
        <v>MC</v>
      </c>
      <c r="C708" s="19" t="n">
        <f aca="false">Cours_Bruts!C708</f>
        <v>791.69</v>
      </c>
      <c r="D708" s="20" t="n">
        <f aca="false">IF(B708=B707,(C708-C707)/C707,"")</f>
        <v>0.00848375221329132</v>
      </c>
      <c r="E708" s="20" t="n">
        <f aca="false">IF(B708=B707,(1+E707)*(1+IF(D708="",0,D708))-1,0)</f>
        <v>0.130985714285714</v>
      </c>
      <c r="F708" s="21" t="n">
        <f aca="false">IF(B708=B707,MAX(F707,C708),C708)</f>
        <v>827.95</v>
      </c>
      <c r="G708" s="20" t="n">
        <f aca="false">(C708-F708)/F708</f>
        <v>-0.0437949151518811</v>
      </c>
      <c r="H708" s="21" t="n">
        <f aca="true">IF(COUNTIFS($B$2:B708,B708)&gt;=20,AVERAGE(OFFSET(C708,-19,0,20,1)),"")</f>
        <v>777.4605</v>
      </c>
      <c r="I708" s="21" t="n">
        <f aca="true">IF(COUNTIFS($B$2:B708,B708)&gt;=50,AVERAGE(OFFSET(C708,-49,0,50,1)),"")</f>
        <v>725.5756</v>
      </c>
    </row>
    <row r="709" customFormat="false" ht="15" hidden="false" customHeight="false" outlineLevel="0" collapsed="false">
      <c r="A709" s="17" t="n">
        <f aca="false">Cours_Bruts!A709</f>
        <v>45812</v>
      </c>
      <c r="B709" s="18" t="str">
        <f aca="false">Cours_Bruts!B709</f>
        <v>MC</v>
      </c>
      <c r="C709" s="19" t="n">
        <f aca="false">Cours_Bruts!C709</f>
        <v>788.8</v>
      </c>
      <c r="D709" s="20" t="n">
        <f aca="false">IF(B709=B708,(C709-C708)/C708,"")</f>
        <v>-0.00365041872450088</v>
      </c>
      <c r="E709" s="20" t="n">
        <f aca="false">IF(B709=B708,(1+E708)*(1+IF(D709="",0,D709))-1,0)</f>
        <v>0.126857142857142</v>
      </c>
      <c r="F709" s="21" t="n">
        <f aca="false">IF(B709=B708,MAX(F708,C709),C709)</f>
        <v>827.95</v>
      </c>
      <c r="G709" s="20" t="n">
        <f aca="false">(C709-F709)/F709</f>
        <v>-0.0472854640980737</v>
      </c>
      <c r="H709" s="21" t="n">
        <f aca="true">IF(COUNTIFS($B$2:B709,B709)&gt;=20,AVERAGE(OFFSET(C709,-19,0,20,1)),"")</f>
        <v>779.4685</v>
      </c>
      <c r="I709" s="21" t="n">
        <f aca="true">IF(COUNTIFS($B$2:B709,B709)&gt;=50,AVERAGE(OFFSET(C709,-49,0,50,1)),"")</f>
        <v>728.3228</v>
      </c>
    </row>
    <row r="710" customFormat="false" ht="15" hidden="false" customHeight="false" outlineLevel="0" collapsed="false">
      <c r="A710" s="17" t="n">
        <f aca="false">Cours_Bruts!A710</f>
        <v>45813</v>
      </c>
      <c r="B710" s="18" t="str">
        <f aca="false">Cours_Bruts!B710</f>
        <v>MC</v>
      </c>
      <c r="C710" s="19" t="n">
        <f aca="false">Cours_Bruts!C710</f>
        <v>809.47</v>
      </c>
      <c r="D710" s="20" t="n">
        <f aca="false">IF(B710=B709,(C710-C709)/C709,"")</f>
        <v>0.0262043610547668</v>
      </c>
      <c r="E710" s="20" t="n">
        <f aca="false">IF(B710=B709,(1+E709)*(1+IF(D710="",0,D710))-1,0)</f>
        <v>0.156385714285714</v>
      </c>
      <c r="F710" s="21" t="n">
        <f aca="false">IF(B710=B709,MAX(F709,C710),C710)</f>
        <v>827.95</v>
      </c>
      <c r="G710" s="20" t="n">
        <f aca="false">(C710-F710)/F710</f>
        <v>-0.022320188417175</v>
      </c>
      <c r="H710" s="21" t="n">
        <f aca="true">IF(COUNTIFS($B$2:B710,B710)&gt;=20,AVERAGE(OFFSET(C710,-19,0,20,1)),"")</f>
        <v>782.241</v>
      </c>
      <c r="I710" s="21" t="n">
        <f aca="true">IF(COUNTIFS($B$2:B710,B710)&gt;=50,AVERAGE(OFFSET(C710,-49,0,50,1)),"")</f>
        <v>731.4878</v>
      </c>
    </row>
    <row r="711" customFormat="false" ht="15" hidden="false" customHeight="false" outlineLevel="0" collapsed="false">
      <c r="A711" s="17" t="n">
        <f aca="false">Cours_Bruts!A711</f>
        <v>45814</v>
      </c>
      <c r="B711" s="18" t="str">
        <f aca="false">Cours_Bruts!B711</f>
        <v>MC</v>
      </c>
      <c r="C711" s="19" t="n">
        <f aca="false">Cours_Bruts!C711</f>
        <v>828.92</v>
      </c>
      <c r="D711" s="20" t="n">
        <f aca="false">IF(B711=B710,(C711-C710)/C710,"")</f>
        <v>0.0240280677480326</v>
      </c>
      <c r="E711" s="20" t="n">
        <f aca="false">IF(B711=B710,(1+E710)*(1+IF(D711="",0,D711))-1,0)</f>
        <v>0.184171428571428</v>
      </c>
      <c r="F711" s="21" t="n">
        <f aca="false">IF(B711=B710,MAX(F710,C711),C711)</f>
        <v>828.92</v>
      </c>
      <c r="G711" s="20" t="n">
        <f aca="false">(C711-F711)/F711</f>
        <v>0</v>
      </c>
      <c r="H711" s="21" t="n">
        <f aca="true">IF(COUNTIFS($B$2:B711,B711)&gt;=20,AVERAGE(OFFSET(C711,-19,0,20,1)),"")</f>
        <v>785.827</v>
      </c>
      <c r="I711" s="21" t="n">
        <f aca="true">IF(COUNTIFS($B$2:B711,B711)&gt;=50,AVERAGE(OFFSET(C711,-49,0,50,1)),"")</f>
        <v>735.1042</v>
      </c>
    </row>
    <row r="712" customFormat="false" ht="15" hidden="false" customHeight="false" outlineLevel="0" collapsed="false">
      <c r="A712" s="17" t="n">
        <f aca="false">Cours_Bruts!A712</f>
        <v>45817</v>
      </c>
      <c r="B712" s="18" t="str">
        <f aca="false">Cours_Bruts!B712</f>
        <v>MC</v>
      </c>
      <c r="C712" s="19" t="n">
        <f aca="false">Cours_Bruts!C712</f>
        <v>834.02</v>
      </c>
      <c r="D712" s="20" t="n">
        <f aca="false">IF(B712=B711,(C712-C711)/C711,"")</f>
        <v>0.00615258408531586</v>
      </c>
      <c r="E712" s="20" t="n">
        <f aca="false">IF(B712=B711,(1+E711)*(1+IF(D712="",0,D712))-1,0)</f>
        <v>0.191457142857142</v>
      </c>
      <c r="F712" s="21" t="n">
        <f aca="false">IF(B712=B711,MAX(F711,C712),C712)</f>
        <v>834.02</v>
      </c>
      <c r="G712" s="20" t="n">
        <f aca="false">(C712-F712)/F712</f>
        <v>0</v>
      </c>
      <c r="H712" s="21" t="n">
        <f aca="true">IF(COUNTIFS($B$2:B712,B712)&gt;=20,AVERAGE(OFFSET(C712,-19,0,20,1)),"")</f>
        <v>789.8575</v>
      </c>
      <c r="I712" s="21" t="n">
        <f aca="true">IF(COUNTIFS($B$2:B712,B712)&gt;=50,AVERAGE(OFFSET(C712,-49,0,50,1)),"")</f>
        <v>738.8892</v>
      </c>
    </row>
    <row r="713" customFormat="false" ht="15" hidden="false" customHeight="false" outlineLevel="0" collapsed="false">
      <c r="A713" s="17" t="n">
        <f aca="false">Cours_Bruts!A713</f>
        <v>45818</v>
      </c>
      <c r="B713" s="18" t="str">
        <f aca="false">Cours_Bruts!B713</f>
        <v>MC</v>
      </c>
      <c r="C713" s="19" t="n">
        <f aca="false">Cours_Bruts!C713</f>
        <v>813.6</v>
      </c>
      <c r="D713" s="20" t="n">
        <f aca="false">IF(B713=B712,(C713-C712)/C712,"")</f>
        <v>-0.0244838253279297</v>
      </c>
      <c r="E713" s="20" t="n">
        <f aca="false">IF(B713=B712,(1+E712)*(1+IF(D713="",0,D713))-1,0)</f>
        <v>0.162285714285714</v>
      </c>
      <c r="F713" s="21" t="n">
        <f aca="false">IF(B713=B712,MAX(F712,C713),C713)</f>
        <v>834.02</v>
      </c>
      <c r="G713" s="20" t="n">
        <f aca="false">(C713-F713)/F713</f>
        <v>-0.0244838253279297</v>
      </c>
      <c r="H713" s="21" t="n">
        <f aca="true">IF(COUNTIFS($B$2:B713,B713)&gt;=20,AVERAGE(OFFSET(C713,-19,0,20,1)),"")</f>
        <v>791.933</v>
      </c>
      <c r="I713" s="21" t="n">
        <f aca="true">IF(COUNTIFS($B$2:B713,B713)&gt;=50,AVERAGE(OFFSET(C713,-49,0,50,1)),"")</f>
        <v>742.0358</v>
      </c>
    </row>
    <row r="714" customFormat="false" ht="15" hidden="false" customHeight="false" outlineLevel="0" collapsed="false">
      <c r="A714" s="17" t="n">
        <f aca="false">Cours_Bruts!A714</f>
        <v>45819</v>
      </c>
      <c r="B714" s="18" t="str">
        <f aca="false">Cours_Bruts!B714</f>
        <v>MC</v>
      </c>
      <c r="C714" s="19" t="n">
        <f aca="false">Cours_Bruts!C714</f>
        <v>806.57</v>
      </c>
      <c r="D714" s="20" t="n">
        <f aca="false">IF(B714=B713,(C714-C713)/C713,"")</f>
        <v>-0.00864060963618482</v>
      </c>
      <c r="E714" s="20" t="n">
        <f aca="false">IF(B714=B713,(1+E713)*(1+IF(D714="",0,D714))-1,0)</f>
        <v>0.152242857142857</v>
      </c>
      <c r="F714" s="21" t="n">
        <f aca="false">IF(B714=B713,MAX(F713,C714),C714)</f>
        <v>834.02</v>
      </c>
      <c r="G714" s="20" t="n">
        <f aca="false">(C714-F714)/F714</f>
        <v>-0.0329128797870554</v>
      </c>
      <c r="H714" s="21" t="n">
        <f aca="true">IF(COUNTIFS($B$2:B714,B714)&gt;=20,AVERAGE(OFFSET(C714,-19,0,20,1)),"")</f>
        <v>794.3205</v>
      </c>
      <c r="I714" s="21" t="n">
        <f aca="true">IF(COUNTIFS($B$2:B714,B714)&gt;=50,AVERAGE(OFFSET(C714,-49,0,50,1)),"")</f>
        <v>744.9214</v>
      </c>
    </row>
    <row r="715" customFormat="false" ht="15" hidden="false" customHeight="false" outlineLevel="0" collapsed="false">
      <c r="A715" s="17" t="n">
        <f aca="false">Cours_Bruts!A715</f>
        <v>45820</v>
      </c>
      <c r="B715" s="18" t="str">
        <f aca="false">Cours_Bruts!B715</f>
        <v>MC</v>
      </c>
      <c r="C715" s="19" t="n">
        <f aca="false">Cours_Bruts!C715</f>
        <v>801</v>
      </c>
      <c r="D715" s="20" t="n">
        <f aca="false">IF(B715=B714,(C715-C714)/C714,"")</f>
        <v>-0.00690578623058141</v>
      </c>
      <c r="E715" s="20" t="n">
        <f aca="false">IF(B715=B714,(1+E714)*(1+IF(D715="",0,D715))-1,0)</f>
        <v>0.144285714285714</v>
      </c>
      <c r="F715" s="21" t="n">
        <f aca="false">IF(B715=B714,MAX(F714,C715),C715)</f>
        <v>834.02</v>
      </c>
      <c r="G715" s="20" t="n">
        <f aca="false">(C715-F715)/F715</f>
        <v>-0.0395913767055946</v>
      </c>
      <c r="H715" s="21" t="n">
        <f aca="true">IF(COUNTIFS($B$2:B715,B715)&gt;=20,AVERAGE(OFFSET(C715,-19,0,20,1)),"")</f>
        <v>797.1145</v>
      </c>
      <c r="I715" s="21" t="n">
        <f aca="true">IF(COUNTIFS($B$2:B715,B715)&gt;=50,AVERAGE(OFFSET(C715,-49,0,50,1)),"")</f>
        <v>747.8372</v>
      </c>
    </row>
    <row r="716" customFormat="false" ht="15" hidden="false" customHeight="false" outlineLevel="0" collapsed="false">
      <c r="A716" s="17" t="n">
        <f aca="false">Cours_Bruts!A716</f>
        <v>45821</v>
      </c>
      <c r="B716" s="18" t="str">
        <f aca="false">Cours_Bruts!B716</f>
        <v>MC</v>
      </c>
      <c r="C716" s="19" t="n">
        <f aca="false">Cours_Bruts!C716</f>
        <v>784.58</v>
      </c>
      <c r="D716" s="20" t="n">
        <f aca="false">IF(B716=B715,(C716-C715)/C715,"")</f>
        <v>-0.0204993757802746</v>
      </c>
      <c r="E716" s="20" t="n">
        <f aca="false">IF(B716=B715,(1+E715)*(1+IF(D716="",0,D716))-1,0)</f>
        <v>0.120828571428571</v>
      </c>
      <c r="F716" s="21" t="n">
        <f aca="false">IF(B716=B715,MAX(F715,C716),C716)</f>
        <v>834.02</v>
      </c>
      <c r="G716" s="20" t="n">
        <f aca="false">(C716-F716)/F716</f>
        <v>-0.0592791539771228</v>
      </c>
      <c r="H716" s="21" t="n">
        <f aca="true">IF(COUNTIFS($B$2:B716,B716)&gt;=20,AVERAGE(OFFSET(C716,-19,0,20,1)),"")</f>
        <v>798.52</v>
      </c>
      <c r="I716" s="21" t="n">
        <f aca="true">IF(COUNTIFS($B$2:B716,B716)&gt;=50,AVERAGE(OFFSET(C716,-49,0,50,1)),"")</f>
        <v>750.534</v>
      </c>
    </row>
    <row r="717" customFormat="false" ht="15" hidden="false" customHeight="false" outlineLevel="0" collapsed="false">
      <c r="A717" s="17" t="n">
        <f aca="false">Cours_Bruts!A717</f>
        <v>45824</v>
      </c>
      <c r="B717" s="18" t="str">
        <f aca="false">Cours_Bruts!B717</f>
        <v>MC</v>
      </c>
      <c r="C717" s="19" t="n">
        <f aca="false">Cours_Bruts!C717</f>
        <v>799.16</v>
      </c>
      <c r="D717" s="20" t="n">
        <f aca="false">IF(B717=B716,(C717-C716)/C716,"")</f>
        <v>0.0185831910066532</v>
      </c>
      <c r="E717" s="20" t="n">
        <f aca="false">IF(B717=B716,(1+E716)*(1+IF(D717="",0,D717))-1,0)</f>
        <v>0.141657142857142</v>
      </c>
      <c r="F717" s="21" t="n">
        <f aca="false">IF(B717=B716,MAX(F716,C717),C717)</f>
        <v>834.02</v>
      </c>
      <c r="G717" s="20" t="n">
        <f aca="false">(C717-F717)/F717</f>
        <v>-0.0417975588115393</v>
      </c>
      <c r="H717" s="21" t="n">
        <f aca="true">IF(COUNTIFS($B$2:B717,B717)&gt;=20,AVERAGE(OFFSET(C717,-19,0,20,1)),"")</f>
        <v>800.127</v>
      </c>
      <c r="I717" s="21" t="n">
        <f aca="true">IF(COUNTIFS($B$2:B717,B717)&gt;=50,AVERAGE(OFFSET(C717,-49,0,50,1)),"")</f>
        <v>753.4166</v>
      </c>
    </row>
    <row r="718" customFormat="false" ht="15" hidden="false" customHeight="false" outlineLevel="0" collapsed="false">
      <c r="A718" s="17" t="n">
        <f aca="false">Cours_Bruts!A718</f>
        <v>45825</v>
      </c>
      <c r="B718" s="18" t="str">
        <f aca="false">Cours_Bruts!B718</f>
        <v>MC</v>
      </c>
      <c r="C718" s="19" t="n">
        <f aca="false">Cours_Bruts!C718</f>
        <v>781.18</v>
      </c>
      <c r="D718" s="20" t="n">
        <f aca="false">IF(B718=B717,(C718-C717)/C717,"")</f>
        <v>-0.0224986235547325</v>
      </c>
      <c r="E718" s="20" t="n">
        <f aca="false">IF(B718=B717,(1+E717)*(1+IF(D718="",0,D718))-1,0)</f>
        <v>0.115971428571428</v>
      </c>
      <c r="F718" s="21" t="n">
        <f aca="false">IF(B718=B717,MAX(F717,C718),C718)</f>
        <v>834.02</v>
      </c>
      <c r="G718" s="20" t="n">
        <f aca="false">(C718-F718)/F718</f>
        <v>-0.0633557948250642</v>
      </c>
      <c r="H718" s="21" t="n">
        <f aca="true">IF(COUNTIFS($B$2:B718,B718)&gt;=20,AVERAGE(OFFSET(C718,-19,0,20,1)),"")</f>
        <v>800.606</v>
      </c>
      <c r="I718" s="21" t="n">
        <f aca="true">IF(COUNTIFS($B$2:B718,B718)&gt;=50,AVERAGE(OFFSET(C718,-49,0,50,1)),"")</f>
        <v>755.8332</v>
      </c>
    </row>
    <row r="719" customFormat="false" ht="15" hidden="false" customHeight="false" outlineLevel="0" collapsed="false">
      <c r="A719" s="17" t="n">
        <f aca="false">Cours_Bruts!A719</f>
        <v>45826</v>
      </c>
      <c r="B719" s="18" t="str">
        <f aca="false">Cours_Bruts!B719</f>
        <v>MC</v>
      </c>
      <c r="C719" s="19" t="n">
        <f aca="false">Cours_Bruts!C719</f>
        <v>805.67</v>
      </c>
      <c r="D719" s="20" t="n">
        <f aca="false">IF(B719=B718,(C719-C718)/C718,"")</f>
        <v>0.0313500089608029</v>
      </c>
      <c r="E719" s="20" t="n">
        <f aca="false">IF(B719=B718,(1+E718)*(1+IF(D719="",0,D719))-1,0)</f>
        <v>0.150957142857143</v>
      </c>
      <c r="F719" s="21" t="n">
        <f aca="false">IF(B719=B718,MAX(F718,C719),C719)</f>
        <v>834.02</v>
      </c>
      <c r="G719" s="20" t="n">
        <f aca="false">(C719-F719)/F719</f>
        <v>-0.0339919905997458</v>
      </c>
      <c r="H719" s="21" t="n">
        <f aca="true">IF(COUNTIFS($B$2:B719,B719)&gt;=20,AVERAGE(OFFSET(C719,-19,0,20,1)),"")</f>
        <v>802.4695</v>
      </c>
      <c r="I719" s="21" t="n">
        <f aca="true">IF(COUNTIFS($B$2:B719,B719)&gt;=50,AVERAGE(OFFSET(C719,-49,0,50,1)),"")</f>
        <v>758.86</v>
      </c>
    </row>
    <row r="720" customFormat="false" ht="15" hidden="false" customHeight="false" outlineLevel="0" collapsed="false">
      <c r="A720" s="17" t="n">
        <f aca="false">Cours_Bruts!A720</f>
        <v>45827</v>
      </c>
      <c r="B720" s="18" t="str">
        <f aca="false">Cours_Bruts!B720</f>
        <v>MC</v>
      </c>
      <c r="C720" s="19" t="n">
        <f aca="false">Cours_Bruts!C720</f>
        <v>830.9</v>
      </c>
      <c r="D720" s="20" t="n">
        <f aca="false">IF(B720=B719,(C720-C719)/C719,"")</f>
        <v>0.0313155510320603</v>
      </c>
      <c r="E720" s="20" t="n">
        <f aca="false">IF(B720=B719,(1+E719)*(1+IF(D720="",0,D720))-1,0)</f>
        <v>0.187</v>
      </c>
      <c r="F720" s="21" t="n">
        <f aca="false">IF(B720=B719,MAX(F719,C720),C720)</f>
        <v>834.02</v>
      </c>
      <c r="G720" s="20" t="n">
        <f aca="false">(C720-F720)/F720</f>
        <v>-0.0037409174839932</v>
      </c>
      <c r="H720" s="21" t="n">
        <f aca="true">IF(COUNTIFS($B$2:B720,B720)&gt;=20,AVERAGE(OFFSET(C720,-19,0,20,1)),"")</f>
        <v>805.275</v>
      </c>
      <c r="I720" s="21" t="n">
        <f aca="true">IF(COUNTIFS($B$2:B720,B720)&gt;=50,AVERAGE(OFFSET(C720,-49,0,50,1)),"")</f>
        <v>762.4344</v>
      </c>
    </row>
    <row r="721" customFormat="false" ht="15" hidden="false" customHeight="false" outlineLevel="0" collapsed="false">
      <c r="A721" s="17" t="n">
        <f aca="false">Cours_Bruts!A721</f>
        <v>45828</v>
      </c>
      <c r="B721" s="18" t="str">
        <f aca="false">Cours_Bruts!B721</f>
        <v>MC</v>
      </c>
      <c r="C721" s="19" t="n">
        <f aca="false">Cours_Bruts!C721</f>
        <v>826.19</v>
      </c>
      <c r="D721" s="20" t="n">
        <f aca="false">IF(B721=B720,(C721-C720)/C720,"")</f>
        <v>-0.00566855217234315</v>
      </c>
      <c r="E721" s="20" t="n">
        <f aca="false">IF(B721=B720,(1+E720)*(1+IF(D721="",0,D721))-1,0)</f>
        <v>0.180271428571428</v>
      </c>
      <c r="F721" s="21" t="n">
        <f aca="false">IF(B721=B720,MAX(F720,C721),C721)</f>
        <v>834.02</v>
      </c>
      <c r="G721" s="20" t="n">
        <f aca="false">(C721-F721)/F721</f>
        <v>-0.0093882640704059</v>
      </c>
      <c r="H721" s="21" t="n">
        <f aca="true">IF(COUNTIFS($B$2:B721,B721)&gt;=20,AVERAGE(OFFSET(C721,-19,0,20,1)),"")</f>
        <v>806.78</v>
      </c>
      <c r="I721" s="21" t="n">
        <f aca="true">IF(COUNTIFS($B$2:B721,B721)&gt;=50,AVERAGE(OFFSET(C721,-49,0,50,1)),"")</f>
        <v>765.5302</v>
      </c>
    </row>
    <row r="722" customFormat="false" ht="15" hidden="false" customHeight="false" outlineLevel="0" collapsed="false">
      <c r="A722" s="17" t="n">
        <f aca="false">Cours_Bruts!A722</f>
        <v>45719</v>
      </c>
      <c r="B722" s="18" t="str">
        <f aca="false">Cours_Bruts!B722</f>
        <v>KO</v>
      </c>
      <c r="C722" s="19" t="n">
        <f aca="false">Cours_Bruts!C722</f>
        <v>60</v>
      </c>
      <c r="D722" s="20" t="str">
        <f aca="false">IF(B722=B721,(C722-C721)/C721,"")</f>
        <v/>
      </c>
      <c r="E722" s="20" t="n">
        <f aca="false">IF(B722=B721,(1+E721)*(1+IF(D722="",0,D722))-1,0)</f>
        <v>0</v>
      </c>
      <c r="F722" s="21" t="n">
        <f aca="false">IF(B722=B721,MAX(F721,C722),C722)</f>
        <v>60</v>
      </c>
      <c r="G722" s="20" t="n">
        <f aca="false">(C722-F722)/F722</f>
        <v>0</v>
      </c>
      <c r="H722" s="21" t="str">
        <f aca="true">IF(COUNTIFS($B$2:B722,B722)&gt;=20,AVERAGE(OFFSET(C722,-19,0,20,1)),"")</f>
        <v/>
      </c>
      <c r="I722" s="21" t="str">
        <f aca="true">IF(COUNTIFS($B$2:B722,B722)&gt;=50,AVERAGE(OFFSET(C722,-49,0,50,1)),"")</f>
        <v/>
      </c>
    </row>
    <row r="723" customFormat="false" ht="15" hidden="false" customHeight="false" outlineLevel="0" collapsed="false">
      <c r="A723" s="17" t="n">
        <f aca="false">Cours_Bruts!A723</f>
        <v>45720</v>
      </c>
      <c r="B723" s="18" t="str">
        <f aca="false">Cours_Bruts!B723</f>
        <v>KO</v>
      </c>
      <c r="C723" s="19" t="n">
        <f aca="false">Cours_Bruts!C723</f>
        <v>60.12</v>
      </c>
      <c r="D723" s="20" t="n">
        <f aca="false">IF(B723=B722,(C723-C722)/C722,"")</f>
        <v>0.00199999999999996</v>
      </c>
      <c r="E723" s="20" t="n">
        <f aca="false">IF(B723=B722,(1+E722)*(1+IF(D723="",0,D723))-1,0)</f>
        <v>0.002</v>
      </c>
      <c r="F723" s="21" t="n">
        <f aca="false">IF(B723=B722,MAX(F722,C723),C723)</f>
        <v>60.12</v>
      </c>
      <c r="G723" s="20" t="n">
        <f aca="false">(C723-F723)/F723</f>
        <v>0</v>
      </c>
      <c r="H723" s="21" t="str">
        <f aca="true">IF(COUNTIFS($B$2:B723,B723)&gt;=20,AVERAGE(OFFSET(C723,-19,0,20,1)),"")</f>
        <v/>
      </c>
      <c r="I723" s="21" t="str">
        <f aca="true">IF(COUNTIFS($B$2:B723,B723)&gt;=50,AVERAGE(OFFSET(C723,-49,0,50,1)),"")</f>
        <v/>
      </c>
    </row>
    <row r="724" customFormat="false" ht="15" hidden="false" customHeight="false" outlineLevel="0" collapsed="false">
      <c r="A724" s="17" t="n">
        <f aca="false">Cours_Bruts!A724</f>
        <v>45721</v>
      </c>
      <c r="B724" s="18" t="str">
        <f aca="false">Cours_Bruts!B724</f>
        <v>KO</v>
      </c>
      <c r="C724" s="19" t="n">
        <f aca="false">Cours_Bruts!C724</f>
        <v>61.23</v>
      </c>
      <c r="D724" s="20" t="n">
        <f aca="false">IF(B724=B723,(C724-C723)/C723,"")</f>
        <v>0.0184630738522954</v>
      </c>
      <c r="E724" s="20" t="n">
        <f aca="false">IF(B724=B723,(1+E723)*(1+IF(D724="",0,D724))-1,0)</f>
        <v>0.0205000000000002</v>
      </c>
      <c r="F724" s="21" t="n">
        <f aca="false">IF(B724=B723,MAX(F723,C724),C724)</f>
        <v>61.23</v>
      </c>
      <c r="G724" s="20" t="n">
        <f aca="false">(C724-F724)/F724</f>
        <v>0</v>
      </c>
      <c r="H724" s="21" t="str">
        <f aca="true">IF(COUNTIFS($B$2:B724,B724)&gt;=20,AVERAGE(OFFSET(C724,-19,0,20,1)),"")</f>
        <v/>
      </c>
      <c r="I724" s="21" t="str">
        <f aca="true">IF(COUNTIFS($B$2:B724,B724)&gt;=50,AVERAGE(OFFSET(C724,-49,0,50,1)),"")</f>
        <v/>
      </c>
    </row>
    <row r="725" customFormat="false" ht="15" hidden="false" customHeight="false" outlineLevel="0" collapsed="false">
      <c r="A725" s="17" t="n">
        <f aca="false">Cours_Bruts!A725</f>
        <v>45722</v>
      </c>
      <c r="B725" s="18" t="str">
        <f aca="false">Cours_Bruts!B725</f>
        <v>KO</v>
      </c>
      <c r="C725" s="19" t="n">
        <f aca="false">Cours_Bruts!C725</f>
        <v>60.87</v>
      </c>
      <c r="D725" s="20" t="n">
        <f aca="false">IF(B725=B724,(C725-C724)/C724,"")</f>
        <v>-0.00587947084762371</v>
      </c>
      <c r="E725" s="20" t="n">
        <f aca="false">IF(B725=B724,(1+E724)*(1+IF(D725="",0,D725))-1,0)</f>
        <v>0.0145000000000002</v>
      </c>
      <c r="F725" s="21" t="n">
        <f aca="false">IF(B725=B724,MAX(F724,C725),C725)</f>
        <v>61.23</v>
      </c>
      <c r="G725" s="20" t="n">
        <f aca="false">(C725-F725)/F725</f>
        <v>-0.00587947084762371</v>
      </c>
      <c r="H725" s="21" t="str">
        <f aca="true">IF(COUNTIFS($B$2:B725,B725)&gt;=20,AVERAGE(OFFSET(C725,-19,0,20,1)),"")</f>
        <v/>
      </c>
      <c r="I725" s="21" t="str">
        <f aca="true">IF(COUNTIFS($B$2:B725,B725)&gt;=50,AVERAGE(OFFSET(C725,-49,0,50,1)),"")</f>
        <v/>
      </c>
    </row>
    <row r="726" customFormat="false" ht="15" hidden="false" customHeight="false" outlineLevel="0" collapsed="false">
      <c r="A726" s="17" t="n">
        <f aca="false">Cours_Bruts!A726</f>
        <v>45723</v>
      </c>
      <c r="B726" s="18" t="str">
        <f aca="false">Cours_Bruts!B726</f>
        <v>KO</v>
      </c>
      <c r="C726" s="19" t="n">
        <f aca="false">Cours_Bruts!C726</f>
        <v>61.81</v>
      </c>
      <c r="D726" s="20" t="n">
        <f aca="false">IF(B726=B725,(C726-C725)/C725,"")</f>
        <v>0.0154427468375227</v>
      </c>
      <c r="E726" s="20" t="n">
        <f aca="false">IF(B726=B725,(1+E725)*(1+IF(D726="",0,D726))-1,0)</f>
        <v>0.0301666666666669</v>
      </c>
      <c r="F726" s="21" t="n">
        <f aca="false">IF(B726=B725,MAX(F725,C726),C726)</f>
        <v>61.81</v>
      </c>
      <c r="G726" s="20" t="n">
        <f aca="false">(C726-F726)/F726</f>
        <v>0</v>
      </c>
      <c r="H726" s="21" t="str">
        <f aca="true">IF(COUNTIFS($B$2:B726,B726)&gt;=20,AVERAGE(OFFSET(C726,-19,0,20,1)),"")</f>
        <v/>
      </c>
      <c r="I726" s="21" t="str">
        <f aca="true">IF(COUNTIFS($B$2:B726,B726)&gt;=50,AVERAGE(OFFSET(C726,-49,0,50,1)),"")</f>
        <v/>
      </c>
    </row>
    <row r="727" customFormat="false" ht="15" hidden="false" customHeight="false" outlineLevel="0" collapsed="false">
      <c r="A727" s="17" t="n">
        <f aca="false">Cours_Bruts!A727</f>
        <v>45726</v>
      </c>
      <c r="B727" s="18" t="str">
        <f aca="false">Cours_Bruts!B727</f>
        <v>KO</v>
      </c>
      <c r="C727" s="19" t="n">
        <f aca="false">Cours_Bruts!C727</f>
        <v>61.93</v>
      </c>
      <c r="D727" s="20" t="n">
        <f aca="false">IF(B727=B726,(C727-C726)/C726,"")</f>
        <v>0.00194143342501209</v>
      </c>
      <c r="E727" s="20" t="n">
        <f aca="false">IF(B727=B726,(1+E726)*(1+IF(D727="",0,D727))-1,0)</f>
        <v>0.0321666666666669</v>
      </c>
      <c r="F727" s="21" t="n">
        <f aca="false">IF(B727=B726,MAX(F726,C727),C727)</f>
        <v>61.93</v>
      </c>
      <c r="G727" s="20" t="n">
        <f aca="false">(C727-F727)/F727</f>
        <v>0</v>
      </c>
      <c r="H727" s="21" t="str">
        <f aca="true">IF(COUNTIFS($B$2:B727,B727)&gt;=20,AVERAGE(OFFSET(C727,-19,0,20,1)),"")</f>
        <v/>
      </c>
      <c r="I727" s="21" t="str">
        <f aca="true">IF(COUNTIFS($B$2:B727,B727)&gt;=50,AVERAGE(OFFSET(C727,-49,0,50,1)),"")</f>
        <v/>
      </c>
    </row>
    <row r="728" customFormat="false" ht="15" hidden="false" customHeight="false" outlineLevel="0" collapsed="false">
      <c r="A728" s="17" t="n">
        <f aca="false">Cours_Bruts!A728</f>
        <v>45727</v>
      </c>
      <c r="B728" s="18" t="str">
        <f aca="false">Cours_Bruts!B728</f>
        <v>KO</v>
      </c>
      <c r="C728" s="19" t="n">
        <f aca="false">Cours_Bruts!C728</f>
        <v>61.59</v>
      </c>
      <c r="D728" s="20" t="n">
        <f aca="false">IF(B728=B727,(C728-C727)/C727,"")</f>
        <v>-0.00549006943323101</v>
      </c>
      <c r="E728" s="20" t="n">
        <f aca="false">IF(B728=B727,(1+E727)*(1+IF(D728="",0,D728))-1,0)</f>
        <v>0.0265000000000002</v>
      </c>
      <c r="F728" s="21" t="n">
        <f aca="false">IF(B728=B727,MAX(F727,C728),C728)</f>
        <v>61.93</v>
      </c>
      <c r="G728" s="20" t="n">
        <f aca="false">(C728-F728)/F728</f>
        <v>-0.00549006943323101</v>
      </c>
      <c r="H728" s="21" t="str">
        <f aca="true">IF(COUNTIFS($B$2:B728,B728)&gt;=20,AVERAGE(OFFSET(C728,-19,0,20,1)),"")</f>
        <v/>
      </c>
      <c r="I728" s="21" t="str">
        <f aca="true">IF(COUNTIFS($B$2:B728,B728)&gt;=50,AVERAGE(OFFSET(C728,-49,0,50,1)),"")</f>
        <v/>
      </c>
    </row>
    <row r="729" customFormat="false" ht="15" hidden="false" customHeight="false" outlineLevel="0" collapsed="false">
      <c r="A729" s="17" t="n">
        <f aca="false">Cours_Bruts!A729</f>
        <v>45728</v>
      </c>
      <c r="B729" s="18" t="str">
        <f aca="false">Cours_Bruts!B729</f>
        <v>KO</v>
      </c>
      <c r="C729" s="19" t="n">
        <f aca="false">Cours_Bruts!C729</f>
        <v>61.34</v>
      </c>
      <c r="D729" s="20" t="n">
        <f aca="false">IF(B729=B728,(C729-C728)/C728,"")</f>
        <v>-0.00405910050332846</v>
      </c>
      <c r="E729" s="20" t="n">
        <f aca="false">IF(B729=B728,(1+E728)*(1+IF(D729="",0,D729))-1,0)</f>
        <v>0.0223333333333335</v>
      </c>
      <c r="F729" s="21" t="n">
        <f aca="false">IF(B729=B728,MAX(F728,C729),C729)</f>
        <v>61.93</v>
      </c>
      <c r="G729" s="20" t="n">
        <f aca="false">(C729-F729)/F729</f>
        <v>-0.00952688519295973</v>
      </c>
      <c r="H729" s="21" t="str">
        <f aca="true">IF(COUNTIFS($B$2:B729,B729)&gt;=20,AVERAGE(OFFSET(C729,-19,0,20,1)),"")</f>
        <v/>
      </c>
      <c r="I729" s="21" t="str">
        <f aca="true">IF(COUNTIFS($B$2:B729,B729)&gt;=50,AVERAGE(OFFSET(C729,-49,0,50,1)),"")</f>
        <v/>
      </c>
    </row>
    <row r="730" customFormat="false" ht="15" hidden="false" customHeight="false" outlineLevel="0" collapsed="false">
      <c r="A730" s="17" t="n">
        <f aca="false">Cours_Bruts!A730</f>
        <v>45729</v>
      </c>
      <c r="B730" s="18" t="str">
        <f aca="false">Cours_Bruts!B730</f>
        <v>KO</v>
      </c>
      <c r="C730" s="19" t="n">
        <f aca="false">Cours_Bruts!C730</f>
        <v>61.18</v>
      </c>
      <c r="D730" s="20" t="n">
        <f aca="false">IF(B730=B729,(C730-C729)/C729,"")</f>
        <v>-0.00260841212911646</v>
      </c>
      <c r="E730" s="20" t="n">
        <f aca="false">IF(B730=B729,(1+E729)*(1+IF(D730="",0,D730))-1,0)</f>
        <v>0.0196666666666667</v>
      </c>
      <c r="F730" s="21" t="n">
        <f aca="false">IF(B730=B729,MAX(F729,C730),C730)</f>
        <v>61.93</v>
      </c>
      <c r="G730" s="20" t="n">
        <f aca="false">(C730-F730)/F730</f>
        <v>-0.0121104472791862</v>
      </c>
      <c r="H730" s="21" t="str">
        <f aca="true">IF(COUNTIFS($B$2:B730,B730)&gt;=20,AVERAGE(OFFSET(C730,-19,0,20,1)),"")</f>
        <v/>
      </c>
      <c r="I730" s="21" t="str">
        <f aca="true">IF(COUNTIFS($B$2:B730,B730)&gt;=50,AVERAGE(OFFSET(C730,-49,0,50,1)),"")</f>
        <v/>
      </c>
    </row>
    <row r="731" customFormat="false" ht="15" hidden="false" customHeight="false" outlineLevel="0" collapsed="false">
      <c r="A731" s="17" t="n">
        <f aca="false">Cours_Bruts!A731</f>
        <v>45730</v>
      </c>
      <c r="B731" s="18" t="str">
        <f aca="false">Cours_Bruts!B731</f>
        <v>KO</v>
      </c>
      <c r="C731" s="19" t="n">
        <f aca="false">Cours_Bruts!C731</f>
        <v>61.42</v>
      </c>
      <c r="D731" s="20" t="n">
        <f aca="false">IF(B731=B730,(C731-C730)/C730,"")</f>
        <v>0.00392285060477283</v>
      </c>
      <c r="E731" s="20" t="n">
        <f aca="false">IF(B731=B730,(1+E730)*(1+IF(D731="",0,D731))-1,0)</f>
        <v>0.0236666666666667</v>
      </c>
      <c r="F731" s="21" t="n">
        <f aca="false">IF(B731=B730,MAX(F730,C731),C731)</f>
        <v>61.93</v>
      </c>
      <c r="G731" s="20" t="n">
        <f aca="false">(C731-F731)/F731</f>
        <v>-0.00823510414984657</v>
      </c>
      <c r="H731" s="21" t="str">
        <f aca="true">IF(COUNTIFS($B$2:B731,B731)&gt;=20,AVERAGE(OFFSET(C731,-19,0,20,1)),"")</f>
        <v/>
      </c>
      <c r="I731" s="21" t="str">
        <f aca="true">IF(COUNTIFS($B$2:B731,B731)&gt;=50,AVERAGE(OFFSET(C731,-49,0,50,1)),"")</f>
        <v/>
      </c>
    </row>
    <row r="732" customFormat="false" ht="15" hidden="false" customHeight="false" outlineLevel="0" collapsed="false">
      <c r="A732" s="17" t="n">
        <f aca="false">Cours_Bruts!A732</f>
        <v>45733</v>
      </c>
      <c r="B732" s="18" t="str">
        <f aca="false">Cours_Bruts!B732</f>
        <v>KO</v>
      </c>
      <c r="C732" s="19" t="n">
        <f aca="false">Cours_Bruts!C732</f>
        <v>61.71</v>
      </c>
      <c r="D732" s="20" t="n">
        <f aca="false">IF(B732=B731,(C732-C731)/C731,"")</f>
        <v>0.00472158905893844</v>
      </c>
      <c r="E732" s="20" t="n">
        <f aca="false">IF(B732=B731,(1+E731)*(1+IF(D732="",0,D732))-1,0)</f>
        <v>0.0285000000000002</v>
      </c>
      <c r="F732" s="21" t="n">
        <f aca="false">IF(B732=B731,MAX(F731,C732),C732)</f>
        <v>61.93</v>
      </c>
      <c r="G732" s="20" t="n">
        <f aca="false">(C732-F732)/F732</f>
        <v>-0.00355239786856126</v>
      </c>
      <c r="H732" s="21" t="str">
        <f aca="true">IF(COUNTIFS($B$2:B732,B732)&gt;=20,AVERAGE(OFFSET(C732,-19,0,20,1)),"")</f>
        <v/>
      </c>
      <c r="I732" s="21" t="str">
        <f aca="true">IF(COUNTIFS($B$2:B732,B732)&gt;=50,AVERAGE(OFFSET(C732,-49,0,50,1)),"")</f>
        <v/>
      </c>
    </row>
    <row r="733" customFormat="false" ht="15" hidden="false" customHeight="false" outlineLevel="0" collapsed="false">
      <c r="A733" s="17" t="n">
        <f aca="false">Cours_Bruts!A733</f>
        <v>45734</v>
      </c>
      <c r="B733" s="18" t="str">
        <f aca="false">Cours_Bruts!B733</f>
        <v>KO</v>
      </c>
      <c r="C733" s="19" t="n">
        <f aca="false">Cours_Bruts!C733</f>
        <v>61.41</v>
      </c>
      <c r="D733" s="20" t="n">
        <f aca="false">IF(B733=B732,(C733-C732)/C732,"")</f>
        <v>-0.00486144871171616</v>
      </c>
      <c r="E733" s="20" t="n">
        <f aca="false">IF(B733=B732,(1+E732)*(1+IF(D733="",0,D733))-1,0)</f>
        <v>0.0235000000000001</v>
      </c>
      <c r="F733" s="21" t="n">
        <f aca="false">IF(B733=B732,MAX(F732,C733),C733)</f>
        <v>61.93</v>
      </c>
      <c r="G733" s="20" t="n">
        <f aca="false">(C733-F733)/F733</f>
        <v>-0.0083965767802358</v>
      </c>
      <c r="H733" s="21" t="str">
        <f aca="true">IF(COUNTIFS($B$2:B733,B733)&gt;=20,AVERAGE(OFFSET(C733,-19,0,20,1)),"")</f>
        <v/>
      </c>
      <c r="I733" s="21" t="str">
        <f aca="true">IF(COUNTIFS($B$2:B733,B733)&gt;=50,AVERAGE(OFFSET(C733,-49,0,50,1)),"")</f>
        <v/>
      </c>
    </row>
    <row r="734" customFormat="false" ht="15" hidden="false" customHeight="false" outlineLevel="0" collapsed="false">
      <c r="A734" s="17" t="n">
        <f aca="false">Cours_Bruts!A734</f>
        <v>45735</v>
      </c>
      <c r="B734" s="18" t="str">
        <f aca="false">Cours_Bruts!B734</f>
        <v>KO</v>
      </c>
      <c r="C734" s="19" t="n">
        <f aca="false">Cours_Bruts!C734</f>
        <v>61.41</v>
      </c>
      <c r="D734" s="20" t="n">
        <f aca="false">IF(B734=B733,(C734-C733)/C733,"")</f>
        <v>0</v>
      </c>
      <c r="E734" s="20" t="n">
        <f aca="false">IF(B734=B733,(1+E733)*(1+IF(D734="",0,D734))-1,0)</f>
        <v>0.0235000000000001</v>
      </c>
      <c r="F734" s="21" t="n">
        <f aca="false">IF(B734=B733,MAX(F733,C734),C734)</f>
        <v>61.93</v>
      </c>
      <c r="G734" s="20" t="n">
        <f aca="false">(C734-F734)/F734</f>
        <v>-0.0083965767802358</v>
      </c>
      <c r="H734" s="21" t="str">
        <f aca="true">IF(COUNTIFS($B$2:B734,B734)&gt;=20,AVERAGE(OFFSET(C734,-19,0,20,1)),"")</f>
        <v/>
      </c>
      <c r="I734" s="21" t="str">
        <f aca="true">IF(COUNTIFS($B$2:B734,B734)&gt;=50,AVERAGE(OFFSET(C734,-49,0,50,1)),"")</f>
        <v/>
      </c>
    </row>
    <row r="735" customFormat="false" ht="15" hidden="false" customHeight="false" outlineLevel="0" collapsed="false">
      <c r="A735" s="17" t="n">
        <f aca="false">Cours_Bruts!A735</f>
        <v>45736</v>
      </c>
      <c r="B735" s="18" t="str">
        <f aca="false">Cours_Bruts!B735</f>
        <v>KO</v>
      </c>
      <c r="C735" s="19" t="n">
        <f aca="false">Cours_Bruts!C735</f>
        <v>62.59</v>
      </c>
      <c r="D735" s="20" t="n">
        <f aca="false">IF(B735=B734,(C735-C734)/C734,"")</f>
        <v>0.019215111545351</v>
      </c>
      <c r="E735" s="20" t="n">
        <f aca="false">IF(B735=B734,(1+E734)*(1+IF(D735="",0,D735))-1,0)</f>
        <v>0.0431666666666668</v>
      </c>
      <c r="F735" s="21" t="n">
        <f aca="false">IF(B735=B734,MAX(F734,C735),C735)</f>
        <v>62.59</v>
      </c>
      <c r="G735" s="20" t="n">
        <f aca="false">(C735-F735)/F735</f>
        <v>0</v>
      </c>
      <c r="H735" s="21" t="str">
        <f aca="true">IF(COUNTIFS($B$2:B735,B735)&gt;=20,AVERAGE(OFFSET(C735,-19,0,20,1)),"")</f>
        <v/>
      </c>
      <c r="I735" s="21" t="str">
        <f aca="true">IF(COUNTIFS($B$2:B735,B735)&gt;=50,AVERAGE(OFFSET(C735,-49,0,50,1)),"")</f>
        <v/>
      </c>
    </row>
    <row r="736" customFormat="false" ht="15" hidden="false" customHeight="false" outlineLevel="0" collapsed="false">
      <c r="A736" s="17" t="n">
        <f aca="false">Cours_Bruts!A736</f>
        <v>45737</v>
      </c>
      <c r="B736" s="18" t="str">
        <f aca="false">Cours_Bruts!B736</f>
        <v>KO</v>
      </c>
      <c r="C736" s="19" t="n">
        <f aca="false">Cours_Bruts!C736</f>
        <v>63.55</v>
      </c>
      <c r="D736" s="20" t="n">
        <f aca="false">IF(B736=B735,(C736-C735)/C735,"")</f>
        <v>0.0153379134046971</v>
      </c>
      <c r="E736" s="20" t="n">
        <f aca="false">IF(B736=B735,(1+E735)*(1+IF(D736="",0,D736))-1,0)</f>
        <v>0.0591666666666668</v>
      </c>
      <c r="F736" s="21" t="n">
        <f aca="false">IF(B736=B735,MAX(F735,C736),C736)</f>
        <v>63.55</v>
      </c>
      <c r="G736" s="20" t="n">
        <f aca="false">(C736-F736)/F736</f>
        <v>0</v>
      </c>
      <c r="H736" s="21" t="str">
        <f aca="true">IF(COUNTIFS($B$2:B736,B736)&gt;=20,AVERAGE(OFFSET(C736,-19,0,20,1)),"")</f>
        <v/>
      </c>
      <c r="I736" s="21" t="str">
        <f aca="true">IF(COUNTIFS($B$2:B736,B736)&gt;=50,AVERAGE(OFFSET(C736,-49,0,50,1)),"")</f>
        <v/>
      </c>
    </row>
    <row r="737" customFormat="false" ht="15" hidden="false" customHeight="false" outlineLevel="0" collapsed="false">
      <c r="A737" s="17" t="n">
        <f aca="false">Cours_Bruts!A737</f>
        <v>45740</v>
      </c>
      <c r="B737" s="18" t="str">
        <f aca="false">Cours_Bruts!B737</f>
        <v>KO</v>
      </c>
      <c r="C737" s="19" t="n">
        <f aca="false">Cours_Bruts!C737</f>
        <v>63.81</v>
      </c>
      <c r="D737" s="20" t="n">
        <f aca="false">IF(B737=B736,(C737-C736)/C736,"")</f>
        <v>0.00409126671911889</v>
      </c>
      <c r="E737" s="20" t="n">
        <f aca="false">IF(B737=B736,(1+E736)*(1+IF(D737="",0,D737))-1,0)</f>
        <v>0.0635000000000001</v>
      </c>
      <c r="F737" s="21" t="n">
        <f aca="false">IF(B737=B736,MAX(F736,C737),C737)</f>
        <v>63.81</v>
      </c>
      <c r="G737" s="20" t="n">
        <f aca="false">(C737-F737)/F737</f>
        <v>0</v>
      </c>
      <c r="H737" s="21" t="str">
        <f aca="true">IF(COUNTIFS($B$2:B737,B737)&gt;=20,AVERAGE(OFFSET(C737,-19,0,20,1)),"")</f>
        <v/>
      </c>
      <c r="I737" s="21" t="str">
        <f aca="true">IF(COUNTIFS($B$2:B737,B737)&gt;=50,AVERAGE(OFFSET(C737,-49,0,50,1)),"")</f>
        <v/>
      </c>
    </row>
    <row r="738" customFormat="false" ht="15" hidden="false" customHeight="false" outlineLevel="0" collapsed="false">
      <c r="A738" s="17" t="n">
        <f aca="false">Cours_Bruts!A738</f>
        <v>45741</v>
      </c>
      <c r="B738" s="18" t="str">
        <f aca="false">Cours_Bruts!B738</f>
        <v>KO</v>
      </c>
      <c r="C738" s="19" t="n">
        <f aca="false">Cours_Bruts!C738</f>
        <v>63.84</v>
      </c>
      <c r="D738" s="20" t="n">
        <f aca="false">IF(B738=B737,(C738-C737)/C737,"")</f>
        <v>0.000470145745181024</v>
      </c>
      <c r="E738" s="20" t="n">
        <f aca="false">IF(B738=B737,(1+E737)*(1+IF(D738="",0,D738))-1,0)</f>
        <v>0.0640000000000001</v>
      </c>
      <c r="F738" s="21" t="n">
        <f aca="false">IF(B738=B737,MAX(F737,C738),C738)</f>
        <v>63.84</v>
      </c>
      <c r="G738" s="20" t="n">
        <f aca="false">(C738-F738)/F738</f>
        <v>0</v>
      </c>
      <c r="H738" s="21" t="str">
        <f aca="true">IF(COUNTIFS($B$2:B738,B738)&gt;=20,AVERAGE(OFFSET(C738,-19,0,20,1)),"")</f>
        <v/>
      </c>
      <c r="I738" s="21" t="str">
        <f aca="true">IF(COUNTIFS($B$2:B738,B738)&gt;=50,AVERAGE(OFFSET(C738,-49,0,50,1)),"")</f>
        <v/>
      </c>
    </row>
    <row r="739" customFormat="false" ht="15" hidden="false" customHeight="false" outlineLevel="0" collapsed="false">
      <c r="A739" s="17" t="n">
        <f aca="false">Cours_Bruts!A739</f>
        <v>45742</v>
      </c>
      <c r="B739" s="18" t="str">
        <f aca="false">Cours_Bruts!B739</f>
        <v>KO</v>
      </c>
      <c r="C739" s="19" t="n">
        <f aca="false">Cours_Bruts!C739</f>
        <v>63.92</v>
      </c>
      <c r="D739" s="20" t="n">
        <f aca="false">IF(B739=B738,(C739-C738)/C738,"")</f>
        <v>0.00125313283208017</v>
      </c>
      <c r="E739" s="20" t="n">
        <f aca="false">IF(B739=B738,(1+E738)*(1+IF(D739="",0,D739))-1,0)</f>
        <v>0.0653333333333335</v>
      </c>
      <c r="F739" s="21" t="n">
        <f aca="false">IF(B739=B738,MAX(F738,C739),C739)</f>
        <v>63.92</v>
      </c>
      <c r="G739" s="20" t="n">
        <f aca="false">(C739-F739)/F739</f>
        <v>0</v>
      </c>
      <c r="H739" s="21" t="str">
        <f aca="true">IF(COUNTIFS($B$2:B739,B739)&gt;=20,AVERAGE(OFFSET(C739,-19,0,20,1)),"")</f>
        <v/>
      </c>
      <c r="I739" s="21" t="str">
        <f aca="true">IF(COUNTIFS($B$2:B739,B739)&gt;=50,AVERAGE(OFFSET(C739,-49,0,50,1)),"")</f>
        <v/>
      </c>
    </row>
    <row r="740" customFormat="false" ht="15" hidden="false" customHeight="false" outlineLevel="0" collapsed="false">
      <c r="A740" s="17" t="n">
        <f aca="false">Cours_Bruts!A740</f>
        <v>45743</v>
      </c>
      <c r="B740" s="18" t="str">
        <f aca="false">Cours_Bruts!B740</f>
        <v>KO</v>
      </c>
      <c r="C740" s="19" t="n">
        <f aca="false">Cours_Bruts!C740</f>
        <v>64.28</v>
      </c>
      <c r="D740" s="20" t="n">
        <f aca="false">IF(B740=B739,(C740-C739)/C739,"")</f>
        <v>0.00563204005006257</v>
      </c>
      <c r="E740" s="20" t="n">
        <f aca="false">IF(B740=B739,(1+E739)*(1+IF(D740="",0,D740))-1,0)</f>
        <v>0.0713333333333333</v>
      </c>
      <c r="F740" s="21" t="n">
        <f aca="false">IF(B740=B739,MAX(F739,C740),C740)</f>
        <v>64.28</v>
      </c>
      <c r="G740" s="20" t="n">
        <f aca="false">(C740-F740)/F740</f>
        <v>0</v>
      </c>
      <c r="H740" s="21" t="str">
        <f aca="true">IF(COUNTIFS($B$2:B740,B740)&gt;=20,AVERAGE(OFFSET(C740,-19,0,20,1)),"")</f>
        <v/>
      </c>
      <c r="I740" s="21" t="str">
        <f aca="true">IF(COUNTIFS($B$2:B740,B740)&gt;=50,AVERAGE(OFFSET(C740,-49,0,50,1)),"")</f>
        <v/>
      </c>
    </row>
    <row r="741" customFormat="false" ht="15" hidden="false" customHeight="false" outlineLevel="0" collapsed="false">
      <c r="A741" s="17" t="n">
        <f aca="false">Cours_Bruts!A741</f>
        <v>45744</v>
      </c>
      <c r="B741" s="18" t="str">
        <f aca="false">Cours_Bruts!B741</f>
        <v>KO</v>
      </c>
      <c r="C741" s="19" t="n">
        <f aca="false">Cours_Bruts!C741</f>
        <v>63.71</v>
      </c>
      <c r="D741" s="20" t="n">
        <f aca="false">IF(B741=B740,(C741-C740)/C740,"")</f>
        <v>-0.00886745488487866</v>
      </c>
      <c r="E741" s="20" t="n">
        <f aca="false">IF(B741=B740,(1+E740)*(1+IF(D741="",0,D741))-1,0)</f>
        <v>0.0618333333333334</v>
      </c>
      <c r="F741" s="21" t="n">
        <f aca="false">IF(B741=B740,MAX(F740,C741),C741)</f>
        <v>64.28</v>
      </c>
      <c r="G741" s="20" t="n">
        <f aca="false">(C741-F741)/F741</f>
        <v>-0.00886745488487866</v>
      </c>
      <c r="H741" s="21" t="n">
        <f aca="true">IF(COUNTIFS($B$2:B741,B741)&gt;=20,AVERAGE(OFFSET(C741,-19,0,20,1)),"")</f>
        <v>62.086</v>
      </c>
      <c r="I741" s="21" t="str">
        <f aca="true">IF(COUNTIFS($B$2:B741,B741)&gt;=50,AVERAGE(OFFSET(C741,-49,0,50,1)),"")</f>
        <v/>
      </c>
    </row>
    <row r="742" customFormat="false" ht="15" hidden="false" customHeight="false" outlineLevel="0" collapsed="false">
      <c r="A742" s="17" t="n">
        <f aca="false">Cours_Bruts!A742</f>
        <v>45747</v>
      </c>
      <c r="B742" s="18" t="str">
        <f aca="false">Cours_Bruts!B742</f>
        <v>KO</v>
      </c>
      <c r="C742" s="19" t="n">
        <f aca="false">Cours_Bruts!C742</f>
        <v>63.58</v>
      </c>
      <c r="D742" s="20" t="n">
        <f aca="false">IF(B742=B741,(C742-C741)/C741,"")</f>
        <v>-0.00204049599748866</v>
      </c>
      <c r="E742" s="20" t="n">
        <f aca="false">IF(B742=B741,(1+E741)*(1+IF(D742="",0,D742))-1,0)</f>
        <v>0.0596666666666668</v>
      </c>
      <c r="F742" s="21" t="n">
        <f aca="false">IF(B742=B741,MAX(F741,C742),C742)</f>
        <v>64.28</v>
      </c>
      <c r="G742" s="20" t="n">
        <f aca="false">(C742-F742)/F742</f>
        <v>-0.0108898568761668</v>
      </c>
      <c r="H742" s="21" t="n">
        <f aca="true">IF(COUNTIFS($B$2:B742,B742)&gt;=20,AVERAGE(OFFSET(C742,-19,0,20,1)),"")</f>
        <v>62.265</v>
      </c>
      <c r="I742" s="21" t="str">
        <f aca="true">IF(COUNTIFS($B$2:B742,B742)&gt;=50,AVERAGE(OFFSET(C742,-49,0,50,1)),"")</f>
        <v/>
      </c>
    </row>
    <row r="743" customFormat="false" ht="15" hidden="false" customHeight="false" outlineLevel="0" collapsed="false">
      <c r="A743" s="17" t="n">
        <f aca="false">Cours_Bruts!A743</f>
        <v>45748</v>
      </c>
      <c r="B743" s="18" t="str">
        <f aca="false">Cours_Bruts!B743</f>
        <v>KO</v>
      </c>
      <c r="C743" s="19" t="n">
        <f aca="false">Cours_Bruts!C743</f>
        <v>62.66</v>
      </c>
      <c r="D743" s="20" t="n">
        <f aca="false">IF(B743=B742,(C743-C742)/C742,"")</f>
        <v>-0.0144699591066373</v>
      </c>
      <c r="E743" s="20" t="n">
        <f aca="false">IF(B743=B742,(1+E742)*(1+IF(D743="",0,D743))-1,0)</f>
        <v>0.0443333333333333</v>
      </c>
      <c r="F743" s="21" t="n">
        <f aca="false">IF(B743=B742,MAX(F742,C743),C743)</f>
        <v>64.28</v>
      </c>
      <c r="G743" s="20" t="n">
        <f aca="false">(C743-F743)/F743</f>
        <v>-0.0252022401991289</v>
      </c>
      <c r="H743" s="21" t="n">
        <f aca="true">IF(COUNTIFS($B$2:B743,B743)&gt;=20,AVERAGE(OFFSET(C743,-19,0,20,1)),"")</f>
        <v>62.392</v>
      </c>
      <c r="I743" s="21" t="str">
        <f aca="true">IF(COUNTIFS($B$2:B743,B743)&gt;=50,AVERAGE(OFFSET(C743,-49,0,50,1)),"")</f>
        <v/>
      </c>
    </row>
    <row r="744" customFormat="false" ht="15" hidden="false" customHeight="false" outlineLevel="0" collapsed="false">
      <c r="A744" s="17" t="n">
        <f aca="false">Cours_Bruts!A744</f>
        <v>45749</v>
      </c>
      <c r="B744" s="18" t="str">
        <f aca="false">Cours_Bruts!B744</f>
        <v>KO</v>
      </c>
      <c r="C744" s="19" t="n">
        <f aca="false">Cours_Bruts!C744</f>
        <v>62.89</v>
      </c>
      <c r="D744" s="20" t="n">
        <f aca="false">IF(B744=B743,(C744-C743)/C743,"")</f>
        <v>0.00367060325566556</v>
      </c>
      <c r="E744" s="20" t="n">
        <f aca="false">IF(B744=B743,(1+E743)*(1+IF(D744="",0,D744))-1,0)</f>
        <v>0.0481666666666667</v>
      </c>
      <c r="F744" s="21" t="n">
        <f aca="false">IF(B744=B743,MAX(F743,C744),C744)</f>
        <v>64.28</v>
      </c>
      <c r="G744" s="20" t="n">
        <f aca="false">(C744-F744)/F744</f>
        <v>-0.0216241443683883</v>
      </c>
      <c r="H744" s="21" t="n">
        <f aca="true">IF(COUNTIFS($B$2:B744,B744)&gt;=20,AVERAGE(OFFSET(C744,-19,0,20,1)),"")</f>
        <v>62.475</v>
      </c>
      <c r="I744" s="21" t="str">
        <f aca="true">IF(COUNTIFS($B$2:B744,B744)&gt;=50,AVERAGE(OFFSET(C744,-49,0,50,1)),"")</f>
        <v/>
      </c>
    </row>
    <row r="745" customFormat="false" ht="15" hidden="false" customHeight="false" outlineLevel="0" collapsed="false">
      <c r="A745" s="17" t="n">
        <f aca="false">Cours_Bruts!A745</f>
        <v>45750</v>
      </c>
      <c r="B745" s="18" t="str">
        <f aca="false">Cours_Bruts!B745</f>
        <v>KO</v>
      </c>
      <c r="C745" s="19" t="n">
        <f aca="false">Cours_Bruts!C745</f>
        <v>63.26</v>
      </c>
      <c r="D745" s="20" t="n">
        <f aca="false">IF(B745=B744,(C745-C744)/C744,"")</f>
        <v>0.00588328828112573</v>
      </c>
      <c r="E745" s="20" t="n">
        <f aca="false">IF(B745=B744,(1+E744)*(1+IF(D745="",0,D745))-1,0)</f>
        <v>0.0543333333333333</v>
      </c>
      <c r="F745" s="21" t="n">
        <f aca="false">IF(B745=B744,MAX(F744,C745),C745)</f>
        <v>64.28</v>
      </c>
      <c r="G745" s="20" t="n">
        <f aca="false">(C745-F745)/F745</f>
        <v>-0.0158680771624145</v>
      </c>
      <c r="H745" s="21" t="n">
        <f aca="true">IF(COUNTIFS($B$2:B745,B745)&gt;=20,AVERAGE(OFFSET(C745,-19,0,20,1)),"")</f>
        <v>62.5945</v>
      </c>
      <c r="I745" s="21" t="str">
        <f aca="true">IF(COUNTIFS($B$2:B745,B745)&gt;=50,AVERAGE(OFFSET(C745,-49,0,50,1)),"")</f>
        <v/>
      </c>
    </row>
    <row r="746" customFormat="false" ht="15" hidden="false" customHeight="false" outlineLevel="0" collapsed="false">
      <c r="A746" s="17" t="n">
        <f aca="false">Cours_Bruts!A746</f>
        <v>45751</v>
      </c>
      <c r="B746" s="18" t="str">
        <f aca="false">Cours_Bruts!B746</f>
        <v>KO</v>
      </c>
      <c r="C746" s="19" t="n">
        <f aca="false">Cours_Bruts!C746</f>
        <v>63.01</v>
      </c>
      <c r="D746" s="20" t="n">
        <f aca="false">IF(B746=B745,(C746-C745)/C745,"")</f>
        <v>-0.00395194435662346</v>
      </c>
      <c r="E746" s="20" t="n">
        <f aca="false">IF(B746=B745,(1+E745)*(1+IF(D746="",0,D746))-1,0)</f>
        <v>0.0501666666666667</v>
      </c>
      <c r="F746" s="21" t="n">
        <f aca="false">IF(B746=B745,MAX(F745,C746),C746)</f>
        <v>64.28</v>
      </c>
      <c r="G746" s="20" t="n">
        <f aca="false">(C746-F746)/F746</f>
        <v>-0.0197573117610455</v>
      </c>
      <c r="H746" s="21" t="n">
        <f aca="true">IF(COUNTIFS($B$2:B746,B746)&gt;=20,AVERAGE(OFFSET(C746,-19,0,20,1)),"")</f>
        <v>62.6545</v>
      </c>
      <c r="I746" s="21" t="str">
        <f aca="true">IF(COUNTIFS($B$2:B746,B746)&gt;=50,AVERAGE(OFFSET(C746,-49,0,50,1)),"")</f>
        <v/>
      </c>
    </row>
    <row r="747" customFormat="false" ht="15" hidden="false" customHeight="false" outlineLevel="0" collapsed="false">
      <c r="A747" s="17" t="n">
        <f aca="false">Cours_Bruts!A747</f>
        <v>45754</v>
      </c>
      <c r="B747" s="18" t="str">
        <f aca="false">Cours_Bruts!B747</f>
        <v>KO</v>
      </c>
      <c r="C747" s="19" t="n">
        <f aca="false">Cours_Bruts!C747</f>
        <v>63.89</v>
      </c>
      <c r="D747" s="20" t="n">
        <f aca="false">IF(B747=B746,(C747-C746)/C746,"")</f>
        <v>0.0139660371369624</v>
      </c>
      <c r="E747" s="20" t="n">
        <f aca="false">IF(B747=B746,(1+E746)*(1+IF(D747="",0,D747))-1,0)</f>
        <v>0.0648333333333333</v>
      </c>
      <c r="F747" s="21" t="n">
        <f aca="false">IF(B747=B746,MAX(F746,C747),C747)</f>
        <v>64.28</v>
      </c>
      <c r="G747" s="20" t="n">
        <f aca="false">(C747-F747)/F747</f>
        <v>-0.00606720597386435</v>
      </c>
      <c r="H747" s="21" t="n">
        <f aca="true">IF(COUNTIFS($B$2:B747,B747)&gt;=20,AVERAGE(OFFSET(C747,-19,0,20,1)),"")</f>
        <v>62.7525</v>
      </c>
      <c r="I747" s="21" t="str">
        <f aca="true">IF(COUNTIFS($B$2:B747,B747)&gt;=50,AVERAGE(OFFSET(C747,-49,0,50,1)),"")</f>
        <v/>
      </c>
    </row>
    <row r="748" customFormat="false" ht="15" hidden="false" customHeight="false" outlineLevel="0" collapsed="false">
      <c r="A748" s="17" t="n">
        <f aca="false">Cours_Bruts!A748</f>
        <v>45755</v>
      </c>
      <c r="B748" s="18" t="str">
        <f aca="false">Cours_Bruts!B748</f>
        <v>KO</v>
      </c>
      <c r="C748" s="19" t="n">
        <f aca="false">Cours_Bruts!C748</f>
        <v>63.22</v>
      </c>
      <c r="D748" s="20" t="n">
        <f aca="false">IF(B748=B747,(C748-C747)/C747,"")</f>
        <v>-0.0104867741430584</v>
      </c>
      <c r="E748" s="20" t="n">
        <f aca="false">IF(B748=B747,(1+E747)*(1+IF(D748="",0,D748))-1,0)</f>
        <v>0.0536666666666665</v>
      </c>
      <c r="F748" s="21" t="n">
        <f aca="false">IF(B748=B747,MAX(F747,C748),C748)</f>
        <v>64.28</v>
      </c>
      <c r="G748" s="20" t="n">
        <f aca="false">(C748-F748)/F748</f>
        <v>-0.0164903546981954</v>
      </c>
      <c r="H748" s="21" t="n">
        <f aca="true">IF(COUNTIFS($B$2:B748,B748)&gt;=20,AVERAGE(OFFSET(C748,-19,0,20,1)),"")</f>
        <v>62.834</v>
      </c>
      <c r="I748" s="21" t="str">
        <f aca="true">IF(COUNTIFS($B$2:B748,B748)&gt;=50,AVERAGE(OFFSET(C748,-49,0,50,1)),"")</f>
        <v/>
      </c>
    </row>
    <row r="749" customFormat="false" ht="15" hidden="false" customHeight="false" outlineLevel="0" collapsed="false">
      <c r="A749" s="17" t="n">
        <f aca="false">Cours_Bruts!A749</f>
        <v>45756</v>
      </c>
      <c r="B749" s="18" t="str">
        <f aca="false">Cours_Bruts!B749</f>
        <v>KO</v>
      </c>
      <c r="C749" s="19" t="n">
        <f aca="false">Cours_Bruts!C749</f>
        <v>62.41</v>
      </c>
      <c r="D749" s="20" t="n">
        <f aca="false">IF(B749=B748,(C749-C748)/C748,"")</f>
        <v>-0.0128124011388801</v>
      </c>
      <c r="E749" s="20" t="n">
        <f aca="false">IF(B749=B748,(1+E748)*(1+IF(D749="",0,D749))-1,0)</f>
        <v>0.0401666666666665</v>
      </c>
      <c r="F749" s="21" t="n">
        <f aca="false">IF(B749=B748,MAX(F748,C749),C749)</f>
        <v>64.28</v>
      </c>
      <c r="G749" s="20" t="n">
        <f aca="false">(C749-F749)/F749</f>
        <v>-0.0290914747977599</v>
      </c>
      <c r="H749" s="21" t="n">
        <f aca="true">IF(COUNTIFS($B$2:B749,B749)&gt;=20,AVERAGE(OFFSET(C749,-19,0,20,1)),"")</f>
        <v>62.8875</v>
      </c>
      <c r="I749" s="21" t="str">
        <f aca="true">IF(COUNTIFS($B$2:B749,B749)&gt;=50,AVERAGE(OFFSET(C749,-49,0,50,1)),"")</f>
        <v/>
      </c>
    </row>
    <row r="750" customFormat="false" ht="15" hidden="false" customHeight="false" outlineLevel="0" collapsed="false">
      <c r="A750" s="17" t="n">
        <f aca="false">Cours_Bruts!A750</f>
        <v>45757</v>
      </c>
      <c r="B750" s="18" t="str">
        <f aca="false">Cours_Bruts!B750</f>
        <v>KO</v>
      </c>
      <c r="C750" s="19" t="n">
        <f aca="false">Cours_Bruts!C750</f>
        <v>62.55</v>
      </c>
      <c r="D750" s="20" t="n">
        <f aca="false">IF(B750=B749,(C750-C749)/C749,"")</f>
        <v>0.00224323025156226</v>
      </c>
      <c r="E750" s="20" t="n">
        <f aca="false">IF(B750=B749,(1+E749)*(1+IF(D750="",0,D750))-1,0)</f>
        <v>0.0424999999999998</v>
      </c>
      <c r="F750" s="21" t="n">
        <f aca="false">IF(B750=B749,MAX(F749,C750),C750)</f>
        <v>64.28</v>
      </c>
      <c r="G750" s="20" t="n">
        <f aca="false">(C750-F750)/F750</f>
        <v>-0.0269135034225265</v>
      </c>
      <c r="H750" s="21" t="n">
        <f aca="true">IF(COUNTIFS($B$2:B750,B750)&gt;=20,AVERAGE(OFFSET(C750,-19,0,20,1)),"")</f>
        <v>62.956</v>
      </c>
      <c r="I750" s="21" t="str">
        <f aca="true">IF(COUNTIFS($B$2:B750,B750)&gt;=50,AVERAGE(OFFSET(C750,-49,0,50,1)),"")</f>
        <v/>
      </c>
    </row>
    <row r="751" customFormat="false" ht="15" hidden="false" customHeight="false" outlineLevel="0" collapsed="false">
      <c r="A751" s="17" t="n">
        <f aca="false">Cours_Bruts!A751</f>
        <v>45758</v>
      </c>
      <c r="B751" s="18" t="str">
        <f aca="false">Cours_Bruts!B751</f>
        <v>KO</v>
      </c>
      <c r="C751" s="19" t="n">
        <f aca="false">Cours_Bruts!C751</f>
        <v>63.14</v>
      </c>
      <c r="D751" s="20" t="n">
        <f aca="false">IF(B751=B750,(C751-C750)/C750,"")</f>
        <v>0.00943245403677064</v>
      </c>
      <c r="E751" s="20" t="n">
        <f aca="false">IF(B751=B750,(1+E750)*(1+IF(D751="",0,D751))-1,0)</f>
        <v>0.0523333333333333</v>
      </c>
      <c r="F751" s="21" t="n">
        <f aca="false">IF(B751=B750,MAX(F750,C751),C751)</f>
        <v>64.28</v>
      </c>
      <c r="G751" s="20" t="n">
        <f aca="false">(C751-F751)/F751</f>
        <v>-0.0177349097697573</v>
      </c>
      <c r="H751" s="21" t="n">
        <f aca="true">IF(COUNTIFS($B$2:B751,B751)&gt;=20,AVERAGE(OFFSET(C751,-19,0,20,1)),"")</f>
        <v>63.042</v>
      </c>
      <c r="I751" s="21" t="str">
        <f aca="true">IF(COUNTIFS($B$2:B751,B751)&gt;=50,AVERAGE(OFFSET(C751,-49,0,50,1)),"")</f>
        <v/>
      </c>
    </row>
    <row r="752" customFormat="false" ht="15" hidden="false" customHeight="false" outlineLevel="0" collapsed="false">
      <c r="A752" s="17" t="n">
        <f aca="false">Cours_Bruts!A752</f>
        <v>45761</v>
      </c>
      <c r="B752" s="18" t="str">
        <f aca="false">Cours_Bruts!B752</f>
        <v>KO</v>
      </c>
      <c r="C752" s="19" t="n">
        <f aca="false">Cours_Bruts!C752</f>
        <v>64.09</v>
      </c>
      <c r="D752" s="20" t="n">
        <f aca="false">IF(B752=B751,(C752-C751)/C751,"")</f>
        <v>0.0150459296800761</v>
      </c>
      <c r="E752" s="20" t="n">
        <f aca="false">IF(B752=B751,(1+E751)*(1+IF(D752="",0,D752))-1,0)</f>
        <v>0.0681666666666667</v>
      </c>
      <c r="F752" s="21" t="n">
        <f aca="false">IF(B752=B751,MAX(F751,C752),C752)</f>
        <v>64.28</v>
      </c>
      <c r="G752" s="20" t="n">
        <f aca="false">(C752-F752)/F752</f>
        <v>-0.00295581829495952</v>
      </c>
      <c r="H752" s="21" t="n">
        <f aca="true">IF(COUNTIFS($B$2:B752,B752)&gt;=20,AVERAGE(OFFSET(C752,-19,0,20,1)),"")</f>
        <v>63.161</v>
      </c>
      <c r="I752" s="21" t="str">
        <f aca="true">IF(COUNTIFS($B$2:B752,B752)&gt;=50,AVERAGE(OFFSET(C752,-49,0,50,1)),"")</f>
        <v/>
      </c>
    </row>
    <row r="753" customFormat="false" ht="15" hidden="false" customHeight="false" outlineLevel="0" collapsed="false">
      <c r="A753" s="17" t="n">
        <f aca="false">Cours_Bruts!A753</f>
        <v>45762</v>
      </c>
      <c r="B753" s="18" t="str">
        <f aca="false">Cours_Bruts!B753</f>
        <v>KO</v>
      </c>
      <c r="C753" s="19" t="n">
        <f aca="false">Cours_Bruts!C753</f>
        <v>63.84</v>
      </c>
      <c r="D753" s="20" t="n">
        <f aca="false">IF(B753=B752,(C753-C752)/C752,"")</f>
        <v>-0.00390076454985177</v>
      </c>
      <c r="E753" s="20" t="n">
        <f aca="false">IF(B753=B752,(1+E752)*(1+IF(D753="",0,D753))-1,0)</f>
        <v>0.0640000000000001</v>
      </c>
      <c r="F753" s="21" t="n">
        <f aca="false">IF(B753=B752,MAX(F752,C753),C753)</f>
        <v>64.28</v>
      </c>
      <c r="G753" s="20" t="n">
        <f aca="false">(C753-F753)/F753</f>
        <v>-0.00684505289359051</v>
      </c>
      <c r="H753" s="21" t="n">
        <f aca="true">IF(COUNTIFS($B$2:B753,B753)&gt;=20,AVERAGE(OFFSET(C753,-19,0,20,1)),"")</f>
        <v>63.2825</v>
      </c>
      <c r="I753" s="21" t="str">
        <f aca="true">IF(COUNTIFS($B$2:B753,B753)&gt;=50,AVERAGE(OFFSET(C753,-49,0,50,1)),"")</f>
        <v/>
      </c>
    </row>
    <row r="754" customFormat="false" ht="15" hidden="false" customHeight="false" outlineLevel="0" collapsed="false">
      <c r="A754" s="17" t="n">
        <f aca="false">Cours_Bruts!A754</f>
        <v>45763</v>
      </c>
      <c r="B754" s="18" t="str">
        <f aca="false">Cours_Bruts!B754</f>
        <v>KO</v>
      </c>
      <c r="C754" s="19" t="n">
        <f aca="false">Cours_Bruts!C754</f>
        <v>64.46</v>
      </c>
      <c r="D754" s="20" t="n">
        <f aca="false">IF(B754=B753,(C754-C753)/C753,"")</f>
        <v>0.0097117794486214</v>
      </c>
      <c r="E754" s="20" t="n">
        <f aca="false">IF(B754=B753,(1+E753)*(1+IF(D754="",0,D754))-1,0)</f>
        <v>0.0743333333333334</v>
      </c>
      <c r="F754" s="21" t="n">
        <f aca="false">IF(B754=B753,MAX(F753,C754),C754)</f>
        <v>64.46</v>
      </c>
      <c r="G754" s="20" t="n">
        <f aca="false">(C754-F754)/F754</f>
        <v>0</v>
      </c>
      <c r="H754" s="21" t="n">
        <f aca="true">IF(COUNTIFS($B$2:B754,B754)&gt;=20,AVERAGE(OFFSET(C754,-19,0,20,1)),"")</f>
        <v>63.435</v>
      </c>
      <c r="I754" s="21" t="str">
        <f aca="true">IF(COUNTIFS($B$2:B754,B754)&gt;=50,AVERAGE(OFFSET(C754,-49,0,50,1)),"")</f>
        <v/>
      </c>
    </row>
    <row r="755" customFormat="false" ht="15" hidden="false" customHeight="false" outlineLevel="0" collapsed="false">
      <c r="A755" s="17" t="n">
        <f aca="false">Cours_Bruts!A755</f>
        <v>45764</v>
      </c>
      <c r="B755" s="18" t="str">
        <f aca="false">Cours_Bruts!B755</f>
        <v>KO</v>
      </c>
      <c r="C755" s="19" t="n">
        <f aca="false">Cours_Bruts!C755</f>
        <v>64.45</v>
      </c>
      <c r="D755" s="20" t="n">
        <f aca="false">IF(B755=B754,(C755-C754)/C754,"")</f>
        <v>-0.000155134967421516</v>
      </c>
      <c r="E755" s="20" t="n">
        <f aca="false">IF(B755=B754,(1+E754)*(1+IF(D755="",0,D755))-1,0)</f>
        <v>0.0741666666666669</v>
      </c>
      <c r="F755" s="21" t="n">
        <f aca="false">IF(B755=B754,MAX(F754,C755),C755)</f>
        <v>64.46</v>
      </c>
      <c r="G755" s="20" t="n">
        <f aca="false">(C755-F755)/F755</f>
        <v>-0.000155134967421516</v>
      </c>
      <c r="H755" s="21" t="n">
        <f aca="true">IF(COUNTIFS($B$2:B755,B755)&gt;=20,AVERAGE(OFFSET(C755,-19,0,20,1)),"")</f>
        <v>63.528</v>
      </c>
      <c r="I755" s="21" t="str">
        <f aca="true">IF(COUNTIFS($B$2:B755,B755)&gt;=50,AVERAGE(OFFSET(C755,-49,0,50,1)),"")</f>
        <v/>
      </c>
    </row>
    <row r="756" customFormat="false" ht="15" hidden="false" customHeight="false" outlineLevel="0" collapsed="false">
      <c r="A756" s="17" t="n">
        <f aca="false">Cours_Bruts!A756</f>
        <v>45765</v>
      </c>
      <c r="B756" s="18" t="str">
        <f aca="false">Cours_Bruts!B756</f>
        <v>KO</v>
      </c>
      <c r="C756" s="19" t="n">
        <f aca="false">Cours_Bruts!C756</f>
        <v>64.37</v>
      </c>
      <c r="D756" s="20" t="n">
        <f aca="false">IF(B756=B755,(C756-C755)/C755,"")</f>
        <v>-0.00124127230411169</v>
      </c>
      <c r="E756" s="20" t="n">
        <f aca="false">IF(B756=B755,(1+E755)*(1+IF(D756="",0,D756))-1,0)</f>
        <v>0.0728333333333338</v>
      </c>
      <c r="F756" s="21" t="n">
        <f aca="false">IF(B756=B755,MAX(F755,C756),C756)</f>
        <v>64.46</v>
      </c>
      <c r="G756" s="20" t="n">
        <f aca="false">(C756-F756)/F756</f>
        <v>-0.00139621470679474</v>
      </c>
      <c r="H756" s="21" t="n">
        <f aca="true">IF(COUNTIFS($B$2:B756,B756)&gt;=20,AVERAGE(OFFSET(C756,-19,0,20,1)),"")</f>
        <v>63.569</v>
      </c>
      <c r="I756" s="21" t="str">
        <f aca="true">IF(COUNTIFS($B$2:B756,B756)&gt;=50,AVERAGE(OFFSET(C756,-49,0,50,1)),"")</f>
        <v/>
      </c>
    </row>
    <row r="757" customFormat="false" ht="15" hidden="false" customHeight="false" outlineLevel="0" collapsed="false">
      <c r="A757" s="17" t="n">
        <f aca="false">Cours_Bruts!A757</f>
        <v>45768</v>
      </c>
      <c r="B757" s="18" t="str">
        <f aca="false">Cours_Bruts!B757</f>
        <v>KO</v>
      </c>
      <c r="C757" s="19" t="n">
        <f aca="false">Cours_Bruts!C757</f>
        <v>64.88</v>
      </c>
      <c r="D757" s="20" t="n">
        <f aca="false">IF(B757=B756,(C757-C756)/C756,"")</f>
        <v>0.00792294547149279</v>
      </c>
      <c r="E757" s="20" t="n">
        <f aca="false">IF(B757=B756,(1+E756)*(1+IF(D757="",0,D757))-1,0)</f>
        <v>0.0813333333333337</v>
      </c>
      <c r="F757" s="21" t="n">
        <f aca="false">IF(B757=B756,MAX(F756,C757),C757)</f>
        <v>64.88</v>
      </c>
      <c r="G757" s="20" t="n">
        <f aca="false">(C757-F757)/F757</f>
        <v>0</v>
      </c>
      <c r="H757" s="21" t="n">
        <f aca="true">IF(COUNTIFS($B$2:B757,B757)&gt;=20,AVERAGE(OFFSET(C757,-19,0,20,1)),"")</f>
        <v>63.6225</v>
      </c>
      <c r="I757" s="21" t="str">
        <f aca="true">IF(COUNTIFS($B$2:B757,B757)&gt;=50,AVERAGE(OFFSET(C757,-49,0,50,1)),"")</f>
        <v/>
      </c>
    </row>
    <row r="758" customFormat="false" ht="15" hidden="false" customHeight="false" outlineLevel="0" collapsed="false">
      <c r="A758" s="17" t="n">
        <f aca="false">Cours_Bruts!A758</f>
        <v>45769</v>
      </c>
      <c r="B758" s="18" t="str">
        <f aca="false">Cours_Bruts!B758</f>
        <v>KO</v>
      </c>
      <c r="C758" s="19" t="n">
        <f aca="false">Cours_Bruts!C758</f>
        <v>65.27</v>
      </c>
      <c r="D758" s="20" t="n">
        <f aca="false">IF(B758=B757,(C758-C757)/C757,"")</f>
        <v>0.0060110974106042</v>
      </c>
      <c r="E758" s="20" t="n">
        <f aca="false">IF(B758=B757,(1+E757)*(1+IF(D758="",0,D758))-1,0)</f>
        <v>0.0878333333333337</v>
      </c>
      <c r="F758" s="21" t="n">
        <f aca="false">IF(B758=B757,MAX(F757,C758),C758)</f>
        <v>65.27</v>
      </c>
      <c r="G758" s="20" t="n">
        <f aca="false">(C758-F758)/F758</f>
        <v>0</v>
      </c>
      <c r="H758" s="21" t="n">
        <f aca="true">IF(COUNTIFS($B$2:B758,B758)&gt;=20,AVERAGE(OFFSET(C758,-19,0,20,1)),"")</f>
        <v>63.694</v>
      </c>
      <c r="I758" s="21" t="str">
        <f aca="true">IF(COUNTIFS($B$2:B758,B758)&gt;=50,AVERAGE(OFFSET(C758,-49,0,50,1)),"")</f>
        <v/>
      </c>
    </row>
    <row r="759" customFormat="false" ht="15" hidden="false" customHeight="false" outlineLevel="0" collapsed="false">
      <c r="A759" s="17" t="n">
        <f aca="false">Cours_Bruts!A759</f>
        <v>45770</v>
      </c>
      <c r="B759" s="18" t="str">
        <f aca="false">Cours_Bruts!B759</f>
        <v>KO</v>
      </c>
      <c r="C759" s="19" t="n">
        <f aca="false">Cours_Bruts!C759</f>
        <v>64.37</v>
      </c>
      <c r="D759" s="20" t="n">
        <f aca="false">IF(B759=B758,(C759-C758)/C758,"")</f>
        <v>-0.0137888769725753</v>
      </c>
      <c r="E759" s="20" t="n">
        <f aca="false">IF(B759=B758,(1+E758)*(1+IF(D759="",0,D759))-1,0)</f>
        <v>0.0728333333333338</v>
      </c>
      <c r="F759" s="21" t="n">
        <f aca="false">IF(B759=B758,MAX(F758,C759),C759)</f>
        <v>65.27</v>
      </c>
      <c r="G759" s="20" t="n">
        <f aca="false">(C759-F759)/F759</f>
        <v>-0.0137888769725753</v>
      </c>
      <c r="H759" s="21" t="n">
        <f aca="true">IF(COUNTIFS($B$2:B759,B759)&gt;=20,AVERAGE(OFFSET(C759,-19,0,20,1)),"")</f>
        <v>63.7165</v>
      </c>
      <c r="I759" s="21" t="str">
        <f aca="true">IF(COUNTIFS($B$2:B759,B759)&gt;=50,AVERAGE(OFFSET(C759,-49,0,50,1)),"")</f>
        <v/>
      </c>
    </row>
    <row r="760" customFormat="false" ht="15" hidden="false" customHeight="false" outlineLevel="0" collapsed="false">
      <c r="A760" s="17" t="n">
        <f aca="false">Cours_Bruts!A760</f>
        <v>45771</v>
      </c>
      <c r="B760" s="18" t="str">
        <f aca="false">Cours_Bruts!B760</f>
        <v>KO</v>
      </c>
      <c r="C760" s="19" t="n">
        <f aca="false">Cours_Bruts!C760</f>
        <v>65.22</v>
      </c>
      <c r="D760" s="20" t="n">
        <f aca="false">IF(B760=B759,(C760-C759)/C759,"")</f>
        <v>0.0132049091191548</v>
      </c>
      <c r="E760" s="20" t="n">
        <f aca="false">IF(B760=B759,(1+E759)*(1+IF(D760="",0,D760))-1,0)</f>
        <v>0.0870000000000004</v>
      </c>
      <c r="F760" s="21" t="n">
        <f aca="false">IF(B760=B759,MAX(F759,C760),C760)</f>
        <v>65.27</v>
      </c>
      <c r="G760" s="20" t="n">
        <f aca="false">(C760-F760)/F760</f>
        <v>-0.000766048720698593</v>
      </c>
      <c r="H760" s="21" t="n">
        <f aca="true">IF(COUNTIFS($B$2:B760,B760)&gt;=20,AVERAGE(OFFSET(C760,-19,0,20,1)),"")</f>
        <v>63.7635</v>
      </c>
      <c r="I760" s="21" t="str">
        <f aca="true">IF(COUNTIFS($B$2:B760,B760)&gt;=50,AVERAGE(OFFSET(C760,-49,0,50,1)),"")</f>
        <v/>
      </c>
    </row>
    <row r="761" customFormat="false" ht="15" hidden="false" customHeight="false" outlineLevel="0" collapsed="false">
      <c r="A761" s="17" t="n">
        <f aca="false">Cours_Bruts!A761</f>
        <v>45772</v>
      </c>
      <c r="B761" s="18" t="str">
        <f aca="false">Cours_Bruts!B761</f>
        <v>KO</v>
      </c>
      <c r="C761" s="19" t="n">
        <f aca="false">Cours_Bruts!C761</f>
        <v>66.03</v>
      </c>
      <c r="D761" s="20" t="n">
        <f aca="false">IF(B761=B760,(C761-C760)/C760,"")</f>
        <v>0.0124195032198712</v>
      </c>
      <c r="E761" s="20" t="n">
        <f aca="false">IF(B761=B760,(1+E760)*(1+IF(D761="",0,D761))-1,0)</f>
        <v>0.1005</v>
      </c>
      <c r="F761" s="21" t="n">
        <f aca="false">IF(B761=B760,MAX(F760,C761),C761)</f>
        <v>66.03</v>
      </c>
      <c r="G761" s="20" t="n">
        <f aca="false">(C761-F761)/F761</f>
        <v>0</v>
      </c>
      <c r="H761" s="21" t="n">
        <f aca="true">IF(COUNTIFS($B$2:B761,B761)&gt;=20,AVERAGE(OFFSET(C761,-19,0,20,1)),"")</f>
        <v>63.8795</v>
      </c>
      <c r="I761" s="21" t="str">
        <f aca="true">IF(COUNTIFS($B$2:B761,B761)&gt;=50,AVERAGE(OFFSET(C761,-49,0,50,1)),"")</f>
        <v/>
      </c>
    </row>
    <row r="762" customFormat="false" ht="15" hidden="false" customHeight="false" outlineLevel="0" collapsed="false">
      <c r="A762" s="17" t="n">
        <f aca="false">Cours_Bruts!A762</f>
        <v>45775</v>
      </c>
      <c r="B762" s="18" t="str">
        <f aca="false">Cours_Bruts!B762</f>
        <v>KO</v>
      </c>
      <c r="C762" s="19" t="n">
        <f aca="false">Cours_Bruts!C762</f>
        <v>65.68</v>
      </c>
      <c r="D762" s="20" t="n">
        <f aca="false">IF(B762=B761,(C762-C761)/C761,"")</f>
        <v>-0.00530062092988027</v>
      </c>
      <c r="E762" s="20" t="n">
        <f aca="false">IF(B762=B761,(1+E761)*(1+IF(D762="",0,D762))-1,0)</f>
        <v>0.0946666666666673</v>
      </c>
      <c r="F762" s="21" t="n">
        <f aca="false">IF(B762=B761,MAX(F761,C762),C762)</f>
        <v>66.03</v>
      </c>
      <c r="G762" s="20" t="n">
        <f aca="false">(C762-F762)/F762</f>
        <v>-0.00530062092988027</v>
      </c>
      <c r="H762" s="21" t="n">
        <f aca="true">IF(COUNTIFS($B$2:B762,B762)&gt;=20,AVERAGE(OFFSET(C762,-19,0,20,1)),"")</f>
        <v>63.9845</v>
      </c>
      <c r="I762" s="21" t="str">
        <f aca="true">IF(COUNTIFS($B$2:B762,B762)&gt;=50,AVERAGE(OFFSET(C762,-49,0,50,1)),"")</f>
        <v/>
      </c>
    </row>
    <row r="763" customFormat="false" ht="15" hidden="false" customHeight="false" outlineLevel="0" collapsed="false">
      <c r="A763" s="17" t="n">
        <f aca="false">Cours_Bruts!A763</f>
        <v>45776</v>
      </c>
      <c r="B763" s="18" t="str">
        <f aca="false">Cours_Bruts!B763</f>
        <v>KO</v>
      </c>
      <c r="C763" s="19" t="n">
        <f aca="false">Cours_Bruts!C763</f>
        <v>65.92</v>
      </c>
      <c r="D763" s="20" t="n">
        <f aca="false">IF(B763=B762,(C763-C762)/C762,"")</f>
        <v>0.0036540803897685</v>
      </c>
      <c r="E763" s="20" t="n">
        <f aca="false">IF(B763=B762,(1+E762)*(1+IF(D763="",0,D763))-1,0)</f>
        <v>0.0986666666666671</v>
      </c>
      <c r="F763" s="21" t="n">
        <f aca="false">IF(B763=B762,MAX(F762,C763),C763)</f>
        <v>66.03</v>
      </c>
      <c r="G763" s="20" t="n">
        <f aca="false">(C763-F763)/F763</f>
        <v>-0.00166590943510525</v>
      </c>
      <c r="H763" s="21" t="n">
        <f aca="true">IF(COUNTIFS($B$2:B763,B763)&gt;=20,AVERAGE(OFFSET(C763,-19,0,20,1)),"")</f>
        <v>64.1475</v>
      </c>
      <c r="I763" s="21" t="str">
        <f aca="true">IF(COUNTIFS($B$2:B763,B763)&gt;=50,AVERAGE(OFFSET(C763,-49,0,50,1)),"")</f>
        <v/>
      </c>
    </row>
    <row r="764" customFormat="false" ht="15" hidden="false" customHeight="false" outlineLevel="0" collapsed="false">
      <c r="A764" s="17" t="n">
        <f aca="false">Cours_Bruts!A764</f>
        <v>45777</v>
      </c>
      <c r="B764" s="18" t="str">
        <f aca="false">Cours_Bruts!B764</f>
        <v>KO</v>
      </c>
      <c r="C764" s="19" t="n">
        <f aca="false">Cours_Bruts!C764</f>
        <v>66.22</v>
      </c>
      <c r="D764" s="20" t="n">
        <f aca="false">IF(B764=B763,(C764-C763)/C763,"")</f>
        <v>0.00455097087378636</v>
      </c>
      <c r="E764" s="20" t="n">
        <f aca="false">IF(B764=B763,(1+E763)*(1+IF(D764="",0,D764))-1,0)</f>
        <v>0.103666666666667</v>
      </c>
      <c r="F764" s="21" t="n">
        <f aca="false">IF(B764=B763,MAX(F763,C764),C764)</f>
        <v>66.22</v>
      </c>
      <c r="G764" s="20" t="n">
        <f aca="false">(C764-F764)/F764</f>
        <v>0</v>
      </c>
      <c r="H764" s="21" t="n">
        <f aca="true">IF(COUNTIFS($B$2:B764,B764)&gt;=20,AVERAGE(OFFSET(C764,-19,0,20,1)),"")</f>
        <v>64.314</v>
      </c>
      <c r="I764" s="21" t="str">
        <f aca="true">IF(COUNTIFS($B$2:B764,B764)&gt;=50,AVERAGE(OFFSET(C764,-49,0,50,1)),"")</f>
        <v/>
      </c>
    </row>
    <row r="765" customFormat="false" ht="15" hidden="false" customHeight="false" outlineLevel="0" collapsed="false">
      <c r="A765" s="17" t="n">
        <f aca="false">Cours_Bruts!A765</f>
        <v>45778</v>
      </c>
      <c r="B765" s="18" t="str">
        <f aca="false">Cours_Bruts!B765</f>
        <v>KO</v>
      </c>
      <c r="C765" s="19" t="n">
        <f aca="false">Cours_Bruts!C765</f>
        <v>66.39</v>
      </c>
      <c r="D765" s="20" t="n">
        <f aca="false">IF(B765=B764,(C765-C764)/C764,"")</f>
        <v>0.00256720024161887</v>
      </c>
      <c r="E765" s="20" t="n">
        <f aca="false">IF(B765=B764,(1+E764)*(1+IF(D765="",0,D765))-1,0)</f>
        <v>0.1065</v>
      </c>
      <c r="F765" s="21" t="n">
        <f aca="false">IF(B765=B764,MAX(F764,C765),C765)</f>
        <v>66.39</v>
      </c>
      <c r="G765" s="20" t="n">
        <f aca="false">(C765-F765)/F765</f>
        <v>0</v>
      </c>
      <c r="H765" s="21" t="n">
        <f aca="true">IF(COUNTIFS($B$2:B765,B765)&gt;=20,AVERAGE(OFFSET(C765,-19,0,20,1)),"")</f>
        <v>64.4705</v>
      </c>
      <c r="I765" s="21" t="str">
        <f aca="true">IF(COUNTIFS($B$2:B765,B765)&gt;=50,AVERAGE(OFFSET(C765,-49,0,50,1)),"")</f>
        <v/>
      </c>
    </row>
    <row r="766" customFormat="false" ht="15" hidden="false" customHeight="false" outlineLevel="0" collapsed="false">
      <c r="A766" s="17" t="n">
        <f aca="false">Cours_Bruts!A766</f>
        <v>45779</v>
      </c>
      <c r="B766" s="18" t="str">
        <f aca="false">Cours_Bruts!B766</f>
        <v>KO</v>
      </c>
      <c r="C766" s="19" t="n">
        <f aca="false">Cours_Bruts!C766</f>
        <v>66.08</v>
      </c>
      <c r="D766" s="20" t="n">
        <f aca="false">IF(B766=B765,(C766-C765)/C765,"")</f>
        <v>-0.00466937791836123</v>
      </c>
      <c r="E766" s="20" t="n">
        <f aca="false">IF(B766=B765,(1+E765)*(1+IF(D766="",0,D766))-1,0)</f>
        <v>0.101333333333334</v>
      </c>
      <c r="F766" s="21" t="n">
        <f aca="false">IF(B766=B765,MAX(F765,C766),C766)</f>
        <v>66.39</v>
      </c>
      <c r="G766" s="20" t="n">
        <f aca="false">(C766-F766)/F766</f>
        <v>-0.00466937791836123</v>
      </c>
      <c r="H766" s="21" t="n">
        <f aca="true">IF(COUNTIFS($B$2:B766,B766)&gt;=20,AVERAGE(OFFSET(C766,-19,0,20,1)),"")</f>
        <v>64.624</v>
      </c>
      <c r="I766" s="21" t="str">
        <f aca="true">IF(COUNTIFS($B$2:B766,B766)&gt;=50,AVERAGE(OFFSET(C766,-49,0,50,1)),"")</f>
        <v/>
      </c>
    </row>
    <row r="767" customFormat="false" ht="15" hidden="false" customHeight="false" outlineLevel="0" collapsed="false">
      <c r="A767" s="17" t="n">
        <f aca="false">Cours_Bruts!A767</f>
        <v>45782</v>
      </c>
      <c r="B767" s="18" t="str">
        <f aca="false">Cours_Bruts!B767</f>
        <v>KO</v>
      </c>
      <c r="C767" s="19" t="n">
        <f aca="false">Cours_Bruts!C767</f>
        <v>65.7</v>
      </c>
      <c r="D767" s="20" t="n">
        <f aca="false">IF(B767=B766,(C767-C766)/C766,"")</f>
        <v>-0.00575060532687645</v>
      </c>
      <c r="E767" s="20" t="n">
        <f aca="false">IF(B767=B766,(1+E766)*(1+IF(D767="",0,D767))-1,0)</f>
        <v>0.0950000000000002</v>
      </c>
      <c r="F767" s="21" t="n">
        <f aca="false">IF(B767=B766,MAX(F766,C767),C767)</f>
        <v>66.39</v>
      </c>
      <c r="G767" s="20" t="n">
        <f aca="false">(C767-F767)/F767</f>
        <v>-0.0103931314957072</v>
      </c>
      <c r="H767" s="21" t="n">
        <f aca="true">IF(COUNTIFS($B$2:B767,B767)&gt;=20,AVERAGE(OFFSET(C767,-19,0,20,1)),"")</f>
        <v>64.7145</v>
      </c>
      <c r="I767" s="21" t="str">
        <f aca="true">IF(COUNTIFS($B$2:B767,B767)&gt;=50,AVERAGE(OFFSET(C767,-49,0,50,1)),"")</f>
        <v/>
      </c>
    </row>
    <row r="768" customFormat="false" ht="15" hidden="false" customHeight="false" outlineLevel="0" collapsed="false">
      <c r="A768" s="17" t="n">
        <f aca="false">Cours_Bruts!A768</f>
        <v>45783</v>
      </c>
      <c r="B768" s="18" t="str">
        <f aca="false">Cours_Bruts!B768</f>
        <v>KO</v>
      </c>
      <c r="C768" s="19" t="n">
        <f aca="false">Cours_Bruts!C768</f>
        <v>65.7</v>
      </c>
      <c r="D768" s="20" t="n">
        <f aca="false">IF(B768=B767,(C768-C767)/C767,"")</f>
        <v>0</v>
      </c>
      <c r="E768" s="20" t="n">
        <f aca="false">IF(B768=B767,(1+E767)*(1+IF(D768="",0,D768))-1,0)</f>
        <v>0.0950000000000002</v>
      </c>
      <c r="F768" s="21" t="n">
        <f aca="false">IF(B768=B767,MAX(F767,C768),C768)</f>
        <v>66.39</v>
      </c>
      <c r="G768" s="20" t="n">
        <f aca="false">(C768-F768)/F768</f>
        <v>-0.0103931314957072</v>
      </c>
      <c r="H768" s="21" t="n">
        <f aca="true">IF(COUNTIFS($B$2:B768,B768)&gt;=20,AVERAGE(OFFSET(C768,-19,0,20,1)),"")</f>
        <v>64.8385</v>
      </c>
      <c r="I768" s="21" t="str">
        <f aca="true">IF(COUNTIFS($B$2:B768,B768)&gt;=50,AVERAGE(OFFSET(C768,-49,0,50,1)),"")</f>
        <v/>
      </c>
    </row>
    <row r="769" customFormat="false" ht="15" hidden="false" customHeight="false" outlineLevel="0" collapsed="false">
      <c r="A769" s="17" t="n">
        <f aca="false">Cours_Bruts!A769</f>
        <v>45784</v>
      </c>
      <c r="B769" s="18" t="str">
        <f aca="false">Cours_Bruts!B769</f>
        <v>KO</v>
      </c>
      <c r="C769" s="19" t="n">
        <f aca="false">Cours_Bruts!C769</f>
        <v>66.39</v>
      </c>
      <c r="D769" s="20" t="n">
        <f aca="false">IF(B769=B768,(C769-C768)/C768,"")</f>
        <v>0.0105022831050228</v>
      </c>
      <c r="E769" s="20" t="n">
        <f aca="false">IF(B769=B768,(1+E768)*(1+IF(D769="",0,D769))-1,0)</f>
        <v>0.1065</v>
      </c>
      <c r="F769" s="21" t="n">
        <f aca="false">IF(B769=B768,MAX(F768,C769),C769)</f>
        <v>66.39</v>
      </c>
      <c r="G769" s="20" t="n">
        <f aca="false">(C769-F769)/F769</f>
        <v>0</v>
      </c>
      <c r="H769" s="21" t="n">
        <f aca="true">IF(COUNTIFS($B$2:B769,B769)&gt;=20,AVERAGE(OFFSET(C769,-19,0,20,1)),"")</f>
        <v>65.0375</v>
      </c>
      <c r="I769" s="21" t="str">
        <f aca="true">IF(COUNTIFS($B$2:B769,B769)&gt;=50,AVERAGE(OFFSET(C769,-49,0,50,1)),"")</f>
        <v/>
      </c>
    </row>
    <row r="770" customFormat="false" ht="15" hidden="false" customHeight="false" outlineLevel="0" collapsed="false">
      <c r="A770" s="17" t="n">
        <f aca="false">Cours_Bruts!A770</f>
        <v>45785</v>
      </c>
      <c r="B770" s="18" t="str">
        <f aca="false">Cours_Bruts!B770</f>
        <v>KO</v>
      </c>
      <c r="C770" s="19" t="n">
        <f aca="false">Cours_Bruts!C770</f>
        <v>66.72</v>
      </c>
      <c r="D770" s="20" t="n">
        <f aca="false">IF(B770=B769,(C770-C769)/C769,"")</f>
        <v>0.00497062810664254</v>
      </c>
      <c r="E770" s="20" t="n">
        <f aca="false">IF(B770=B769,(1+E769)*(1+IF(D770="",0,D770))-1,0)</f>
        <v>0.112</v>
      </c>
      <c r="F770" s="21" t="n">
        <f aca="false">IF(B770=B769,MAX(F769,C770),C770)</f>
        <v>66.72</v>
      </c>
      <c r="G770" s="20" t="n">
        <f aca="false">(C770-F770)/F770</f>
        <v>0</v>
      </c>
      <c r="H770" s="21" t="n">
        <f aca="true">IF(COUNTIFS($B$2:B770,B770)&gt;=20,AVERAGE(OFFSET(C770,-19,0,20,1)),"")</f>
        <v>65.246</v>
      </c>
      <c r="I770" s="21" t="str">
        <f aca="true">IF(COUNTIFS($B$2:B770,B770)&gt;=50,AVERAGE(OFFSET(C770,-49,0,50,1)),"")</f>
        <v/>
      </c>
    </row>
    <row r="771" customFormat="false" ht="15" hidden="false" customHeight="false" outlineLevel="0" collapsed="false">
      <c r="A771" s="17" t="n">
        <f aca="false">Cours_Bruts!A771</f>
        <v>45786</v>
      </c>
      <c r="B771" s="18" t="str">
        <f aca="false">Cours_Bruts!B771</f>
        <v>KO</v>
      </c>
      <c r="C771" s="19" t="n">
        <f aca="false">Cours_Bruts!C771</f>
        <v>66.52</v>
      </c>
      <c r="D771" s="20" t="n">
        <f aca="false">IF(B771=B770,(C771-C770)/C770,"")</f>
        <v>-0.00299760191846527</v>
      </c>
      <c r="E771" s="20" t="n">
        <f aca="false">IF(B771=B770,(1+E770)*(1+IF(D771="",0,D771))-1,0)</f>
        <v>0.108666666666667</v>
      </c>
      <c r="F771" s="21" t="n">
        <f aca="false">IF(B771=B770,MAX(F770,C771),C771)</f>
        <v>66.72</v>
      </c>
      <c r="G771" s="20" t="n">
        <f aca="false">(C771-F771)/F771</f>
        <v>-0.00299760191846527</v>
      </c>
      <c r="H771" s="21" t="n">
        <f aca="true">IF(COUNTIFS($B$2:B771,B771)&gt;=20,AVERAGE(OFFSET(C771,-19,0,20,1)),"")</f>
        <v>65.415</v>
      </c>
      <c r="I771" s="21" t="n">
        <f aca="true">IF(COUNTIFS($B$2:B771,B771)&gt;=50,AVERAGE(OFFSET(C771,-49,0,50,1)),"")</f>
        <v>63.6126</v>
      </c>
    </row>
    <row r="772" customFormat="false" ht="15" hidden="false" customHeight="false" outlineLevel="0" collapsed="false">
      <c r="A772" s="17" t="n">
        <f aca="false">Cours_Bruts!A772</f>
        <v>45789</v>
      </c>
      <c r="B772" s="18" t="str">
        <f aca="false">Cours_Bruts!B772</f>
        <v>KO</v>
      </c>
      <c r="C772" s="19" t="n">
        <f aca="false">Cours_Bruts!C772</f>
        <v>66.98</v>
      </c>
      <c r="D772" s="20" t="n">
        <f aca="false">IF(B772=B771,(C772-C771)/C771,"")</f>
        <v>0.00691521346963331</v>
      </c>
      <c r="E772" s="20" t="n">
        <f aca="false">IF(B772=B771,(1+E771)*(1+IF(D772="",0,D772))-1,0)</f>
        <v>0.116333333333333</v>
      </c>
      <c r="F772" s="21" t="n">
        <f aca="false">IF(B772=B771,MAX(F771,C772),C772)</f>
        <v>66.98</v>
      </c>
      <c r="G772" s="20" t="n">
        <f aca="false">(C772-F772)/F772</f>
        <v>0</v>
      </c>
      <c r="H772" s="21" t="n">
        <f aca="true">IF(COUNTIFS($B$2:B772,B772)&gt;=20,AVERAGE(OFFSET(C772,-19,0,20,1)),"")</f>
        <v>65.5595</v>
      </c>
      <c r="I772" s="21" t="n">
        <f aca="true">IF(COUNTIFS($B$2:B772,B772)&gt;=50,AVERAGE(OFFSET(C772,-49,0,50,1)),"")</f>
        <v>63.7522</v>
      </c>
    </row>
    <row r="773" customFormat="false" ht="15" hidden="false" customHeight="false" outlineLevel="0" collapsed="false">
      <c r="A773" s="17" t="n">
        <f aca="false">Cours_Bruts!A773</f>
        <v>45790</v>
      </c>
      <c r="B773" s="18" t="str">
        <f aca="false">Cours_Bruts!B773</f>
        <v>KO</v>
      </c>
      <c r="C773" s="19" t="n">
        <f aca="false">Cours_Bruts!C773</f>
        <v>65.31</v>
      </c>
      <c r="D773" s="20" t="n">
        <f aca="false">IF(B773=B772,(C773-C772)/C772,"")</f>
        <v>-0.0249328157659003</v>
      </c>
      <c r="E773" s="20" t="n">
        <f aca="false">IF(B773=B772,(1+E772)*(1+IF(D773="",0,D773))-1,0)</f>
        <v>0.0885</v>
      </c>
      <c r="F773" s="21" t="n">
        <f aca="false">IF(B773=B772,MAX(F772,C773),C773)</f>
        <v>66.98</v>
      </c>
      <c r="G773" s="20" t="n">
        <f aca="false">(C773-F773)/F773</f>
        <v>-0.0249328157659003</v>
      </c>
      <c r="H773" s="21" t="n">
        <f aca="true">IF(COUNTIFS($B$2:B773,B773)&gt;=20,AVERAGE(OFFSET(C773,-19,0,20,1)),"")</f>
        <v>65.633</v>
      </c>
      <c r="I773" s="21" t="n">
        <f aca="true">IF(COUNTIFS($B$2:B773,B773)&gt;=50,AVERAGE(OFFSET(C773,-49,0,50,1)),"")</f>
        <v>63.856</v>
      </c>
    </row>
    <row r="774" customFormat="false" ht="15" hidden="false" customHeight="false" outlineLevel="0" collapsed="false">
      <c r="A774" s="17" t="n">
        <f aca="false">Cours_Bruts!A774</f>
        <v>45791</v>
      </c>
      <c r="B774" s="18" t="str">
        <f aca="false">Cours_Bruts!B774</f>
        <v>KO</v>
      </c>
      <c r="C774" s="19" t="n">
        <f aca="false">Cours_Bruts!C774</f>
        <v>65.99</v>
      </c>
      <c r="D774" s="20" t="n">
        <f aca="false">IF(B774=B773,(C774-C773)/C773,"")</f>
        <v>0.0104118817945183</v>
      </c>
      <c r="E774" s="20" t="n">
        <f aca="false">IF(B774=B773,(1+E773)*(1+IF(D774="",0,D774))-1,0)</f>
        <v>0.0998333333333332</v>
      </c>
      <c r="F774" s="21" t="n">
        <f aca="false">IF(B774=B773,MAX(F773,C774),C774)</f>
        <v>66.98</v>
      </c>
      <c r="G774" s="20" t="n">
        <f aca="false">(C774-F774)/F774</f>
        <v>-0.014780531501941</v>
      </c>
      <c r="H774" s="21" t="n">
        <f aca="true">IF(COUNTIFS($B$2:B774,B774)&gt;=20,AVERAGE(OFFSET(C774,-19,0,20,1)),"")</f>
        <v>65.7095</v>
      </c>
      <c r="I774" s="21" t="n">
        <f aca="true">IF(COUNTIFS($B$2:B774,B774)&gt;=50,AVERAGE(OFFSET(C774,-49,0,50,1)),"")</f>
        <v>63.9512</v>
      </c>
    </row>
    <row r="775" customFormat="false" ht="15" hidden="false" customHeight="false" outlineLevel="0" collapsed="false">
      <c r="A775" s="17" t="n">
        <f aca="false">Cours_Bruts!A775</f>
        <v>45792</v>
      </c>
      <c r="B775" s="18" t="str">
        <f aca="false">Cours_Bruts!B775</f>
        <v>KO</v>
      </c>
      <c r="C775" s="19" t="n">
        <f aca="false">Cours_Bruts!C775</f>
        <v>64.99</v>
      </c>
      <c r="D775" s="20" t="n">
        <f aca="false">IF(B775=B774,(C775-C774)/C774,"")</f>
        <v>-0.0151538111835127</v>
      </c>
      <c r="E775" s="20" t="n">
        <f aca="false">IF(B775=B774,(1+E774)*(1+IF(D775="",0,D775))-1,0)</f>
        <v>0.0831666666666666</v>
      </c>
      <c r="F775" s="21" t="n">
        <f aca="false">IF(B775=B774,MAX(F774,C775),C775)</f>
        <v>66.98</v>
      </c>
      <c r="G775" s="20" t="n">
        <f aca="false">(C775-F775)/F775</f>
        <v>-0.0297103613018813</v>
      </c>
      <c r="H775" s="21" t="n">
        <f aca="true">IF(COUNTIFS($B$2:B775,B775)&gt;=20,AVERAGE(OFFSET(C775,-19,0,20,1)),"")</f>
        <v>65.7365</v>
      </c>
      <c r="I775" s="21" t="n">
        <f aca="true">IF(COUNTIFS($B$2:B775,B775)&gt;=50,AVERAGE(OFFSET(C775,-49,0,50,1)),"")</f>
        <v>64.0336</v>
      </c>
    </row>
    <row r="776" customFormat="false" ht="15" hidden="false" customHeight="false" outlineLevel="0" collapsed="false">
      <c r="A776" s="17" t="n">
        <f aca="false">Cours_Bruts!A776</f>
        <v>45793</v>
      </c>
      <c r="B776" s="18" t="str">
        <f aca="false">Cours_Bruts!B776</f>
        <v>KO</v>
      </c>
      <c r="C776" s="19" t="n">
        <f aca="false">Cours_Bruts!C776</f>
        <v>64.79</v>
      </c>
      <c r="D776" s="20" t="n">
        <f aca="false">IF(B776=B775,(C776-C775)/C775,"")</f>
        <v>-0.00307739652254175</v>
      </c>
      <c r="E776" s="20" t="n">
        <f aca="false">IF(B776=B775,(1+E775)*(1+IF(D776="",0,D776))-1,0)</f>
        <v>0.0798333333333334</v>
      </c>
      <c r="F776" s="21" t="n">
        <f aca="false">IF(B776=B775,MAX(F775,C776),C776)</f>
        <v>66.98</v>
      </c>
      <c r="G776" s="20" t="n">
        <f aca="false">(C776-F776)/F776</f>
        <v>-0.0326963272618692</v>
      </c>
      <c r="H776" s="21" t="n">
        <f aca="true">IF(COUNTIFS($B$2:B776,B776)&gt;=20,AVERAGE(OFFSET(C776,-19,0,20,1)),"")</f>
        <v>65.7575</v>
      </c>
      <c r="I776" s="21" t="n">
        <f aca="true">IF(COUNTIFS($B$2:B776,B776)&gt;=50,AVERAGE(OFFSET(C776,-49,0,50,1)),"")</f>
        <v>64.0932</v>
      </c>
    </row>
    <row r="777" customFormat="false" ht="15" hidden="false" customHeight="false" outlineLevel="0" collapsed="false">
      <c r="A777" s="17" t="n">
        <f aca="false">Cours_Bruts!A777</f>
        <v>45796</v>
      </c>
      <c r="B777" s="18" t="str">
        <f aca="false">Cours_Bruts!B777</f>
        <v>KO</v>
      </c>
      <c r="C777" s="19" t="n">
        <f aca="false">Cours_Bruts!C777</f>
        <v>64.17</v>
      </c>
      <c r="D777" s="20" t="n">
        <f aca="false">IF(B777=B776,(C777-C776)/C776,"")</f>
        <v>-0.00956937799043069</v>
      </c>
      <c r="E777" s="20" t="n">
        <f aca="false">IF(B777=B776,(1+E776)*(1+IF(D777="",0,D777))-1,0)</f>
        <v>0.0695000000000001</v>
      </c>
      <c r="F777" s="21" t="n">
        <f aca="false">IF(B777=B776,MAX(F776,C777),C777)</f>
        <v>66.98</v>
      </c>
      <c r="G777" s="20" t="n">
        <f aca="false">(C777-F777)/F777</f>
        <v>-0.0419528217378322</v>
      </c>
      <c r="H777" s="21" t="n">
        <f aca="true">IF(COUNTIFS($B$2:B777,B777)&gt;=20,AVERAGE(OFFSET(C777,-19,0,20,1)),"")</f>
        <v>65.722</v>
      </c>
      <c r="I777" s="21" t="n">
        <f aca="true">IF(COUNTIFS($B$2:B777,B777)&gt;=50,AVERAGE(OFFSET(C777,-49,0,50,1)),"")</f>
        <v>64.138</v>
      </c>
    </row>
    <row r="778" customFormat="false" ht="15" hidden="false" customHeight="false" outlineLevel="0" collapsed="false">
      <c r="A778" s="17" t="n">
        <f aca="false">Cours_Bruts!A778</f>
        <v>45797</v>
      </c>
      <c r="B778" s="18" t="str">
        <f aca="false">Cours_Bruts!B778</f>
        <v>KO</v>
      </c>
      <c r="C778" s="19" t="n">
        <f aca="false">Cours_Bruts!C778</f>
        <v>63.45</v>
      </c>
      <c r="D778" s="20" t="n">
        <f aca="false">IF(B778=B777,(C778-C777)/C777,"")</f>
        <v>-0.0112201963534362</v>
      </c>
      <c r="E778" s="20" t="n">
        <f aca="false">IF(B778=B777,(1+E777)*(1+IF(D778="",0,D778))-1,0)</f>
        <v>0.0575000000000001</v>
      </c>
      <c r="F778" s="21" t="n">
        <f aca="false">IF(B778=B777,MAX(F777,C778),C778)</f>
        <v>66.98</v>
      </c>
      <c r="G778" s="20" t="n">
        <f aca="false">(C778-F778)/F778</f>
        <v>-0.0527022991937892</v>
      </c>
      <c r="H778" s="21" t="n">
        <f aca="true">IF(COUNTIFS($B$2:B778,B778)&gt;=20,AVERAGE(OFFSET(C778,-19,0,20,1)),"")</f>
        <v>65.631</v>
      </c>
      <c r="I778" s="21" t="n">
        <f aca="true">IF(COUNTIFS($B$2:B778,B778)&gt;=50,AVERAGE(OFFSET(C778,-49,0,50,1)),"")</f>
        <v>64.1752</v>
      </c>
    </row>
    <row r="779" customFormat="false" ht="15" hidden="false" customHeight="false" outlineLevel="0" collapsed="false">
      <c r="A779" s="17" t="n">
        <f aca="false">Cours_Bruts!A779</f>
        <v>45798</v>
      </c>
      <c r="B779" s="18" t="str">
        <f aca="false">Cours_Bruts!B779</f>
        <v>KO</v>
      </c>
      <c r="C779" s="19" t="n">
        <f aca="false">Cours_Bruts!C779</f>
        <v>64.11</v>
      </c>
      <c r="D779" s="20" t="n">
        <f aca="false">IF(B779=B778,(C779-C778)/C778,"")</f>
        <v>0.010401891252955</v>
      </c>
      <c r="E779" s="20" t="n">
        <f aca="false">IF(B779=B778,(1+E778)*(1+IF(D779="",0,D779))-1,0)</f>
        <v>0.0685000000000002</v>
      </c>
      <c r="F779" s="21" t="n">
        <f aca="false">IF(B779=B778,MAX(F778,C779),C779)</f>
        <v>66.98</v>
      </c>
      <c r="G779" s="20" t="n">
        <f aca="false">(C779-F779)/F779</f>
        <v>-0.0428486115258287</v>
      </c>
      <c r="H779" s="21" t="n">
        <f aca="true">IF(COUNTIFS($B$2:B779,B779)&gt;=20,AVERAGE(OFFSET(C779,-19,0,20,1)),"")</f>
        <v>65.618</v>
      </c>
      <c r="I779" s="21" t="n">
        <f aca="true">IF(COUNTIFS($B$2:B779,B779)&gt;=50,AVERAGE(OFFSET(C779,-49,0,50,1)),"")</f>
        <v>64.2306</v>
      </c>
    </row>
    <row r="780" customFormat="false" ht="15" hidden="false" customHeight="false" outlineLevel="0" collapsed="false">
      <c r="A780" s="17" t="n">
        <f aca="false">Cours_Bruts!A780</f>
        <v>45799</v>
      </c>
      <c r="B780" s="18" t="str">
        <f aca="false">Cours_Bruts!B780</f>
        <v>KO</v>
      </c>
      <c r="C780" s="19" t="n">
        <f aca="false">Cours_Bruts!C780</f>
        <v>63.86</v>
      </c>
      <c r="D780" s="20" t="n">
        <f aca="false">IF(B780=B779,(C780-C779)/C779,"")</f>
        <v>-0.00389954765247231</v>
      </c>
      <c r="E780" s="20" t="n">
        <f aca="false">IF(B780=B779,(1+E779)*(1+IF(D780="",0,D780))-1,0)</f>
        <v>0.0643333333333336</v>
      </c>
      <c r="F780" s="21" t="n">
        <f aca="false">IF(B780=B779,MAX(F779,C780),C780)</f>
        <v>66.98</v>
      </c>
      <c r="G780" s="20" t="n">
        <f aca="false">(C780-F780)/F780</f>
        <v>-0.0465810689758137</v>
      </c>
      <c r="H780" s="21" t="n">
        <f aca="true">IF(COUNTIFS($B$2:B780,B780)&gt;=20,AVERAGE(OFFSET(C780,-19,0,20,1)),"")</f>
        <v>65.55</v>
      </c>
      <c r="I780" s="21" t="n">
        <f aca="true">IF(COUNTIFS($B$2:B780,B780)&gt;=50,AVERAGE(OFFSET(C780,-49,0,50,1)),"")</f>
        <v>64.2842</v>
      </c>
    </row>
    <row r="781" customFormat="false" ht="15" hidden="false" customHeight="false" outlineLevel="0" collapsed="false">
      <c r="A781" s="17" t="n">
        <f aca="false">Cours_Bruts!A781</f>
        <v>45800</v>
      </c>
      <c r="B781" s="18" t="str">
        <f aca="false">Cours_Bruts!B781</f>
        <v>KO</v>
      </c>
      <c r="C781" s="19" t="n">
        <f aca="false">Cours_Bruts!C781</f>
        <v>64.07</v>
      </c>
      <c r="D781" s="20" t="n">
        <f aca="false">IF(B781=B780,(C781-C780)/C780,"")</f>
        <v>0.00328844347009073</v>
      </c>
      <c r="E781" s="20" t="n">
        <f aca="false">IF(B781=B780,(1+E780)*(1+IF(D781="",0,D781))-1,0)</f>
        <v>0.0678333333333336</v>
      </c>
      <c r="F781" s="21" t="n">
        <f aca="false">IF(B781=B780,MAX(F780,C781),C781)</f>
        <v>66.98</v>
      </c>
      <c r="G781" s="20" t="n">
        <f aca="false">(C781-F781)/F781</f>
        <v>-0.0434458047178264</v>
      </c>
      <c r="H781" s="21" t="n">
        <f aca="true">IF(COUNTIFS($B$2:B781,B781)&gt;=20,AVERAGE(OFFSET(C781,-19,0,20,1)),"")</f>
        <v>65.452</v>
      </c>
      <c r="I781" s="21" t="n">
        <f aca="true">IF(COUNTIFS($B$2:B781,B781)&gt;=50,AVERAGE(OFFSET(C781,-49,0,50,1)),"")</f>
        <v>64.3372</v>
      </c>
    </row>
    <row r="782" customFormat="false" ht="15" hidden="false" customHeight="false" outlineLevel="0" collapsed="false">
      <c r="A782" s="17" t="n">
        <f aca="false">Cours_Bruts!A782</f>
        <v>45803</v>
      </c>
      <c r="B782" s="18" t="str">
        <f aca="false">Cours_Bruts!B782</f>
        <v>KO</v>
      </c>
      <c r="C782" s="19" t="n">
        <f aca="false">Cours_Bruts!C782</f>
        <v>64.05</v>
      </c>
      <c r="D782" s="20" t="n">
        <f aca="false">IF(B782=B781,(C782-C781)/C781,"")</f>
        <v>-0.000312158576556829</v>
      </c>
      <c r="E782" s="20" t="n">
        <f aca="false">IF(B782=B781,(1+E781)*(1+IF(D782="",0,D782))-1,0)</f>
        <v>0.0675000000000003</v>
      </c>
      <c r="F782" s="21" t="n">
        <f aca="false">IF(B782=B781,MAX(F781,C782),C782)</f>
        <v>66.98</v>
      </c>
      <c r="G782" s="20" t="n">
        <f aca="false">(C782-F782)/F782</f>
        <v>-0.0437444013138251</v>
      </c>
      <c r="H782" s="21" t="n">
        <f aca="true">IF(COUNTIFS($B$2:B782,B782)&gt;=20,AVERAGE(OFFSET(C782,-19,0,20,1)),"")</f>
        <v>65.3705</v>
      </c>
      <c r="I782" s="21" t="n">
        <f aca="true">IF(COUNTIFS($B$2:B782,B782)&gt;=50,AVERAGE(OFFSET(C782,-49,0,50,1)),"")</f>
        <v>64.384</v>
      </c>
    </row>
    <row r="783" customFormat="false" ht="15" hidden="false" customHeight="false" outlineLevel="0" collapsed="false">
      <c r="A783" s="17" t="n">
        <f aca="false">Cours_Bruts!A783</f>
        <v>45804</v>
      </c>
      <c r="B783" s="18" t="str">
        <f aca="false">Cours_Bruts!B783</f>
        <v>KO</v>
      </c>
      <c r="C783" s="19" t="n">
        <f aca="false">Cours_Bruts!C783</f>
        <v>64.33</v>
      </c>
      <c r="D783" s="20" t="n">
        <f aca="false">IF(B783=B782,(C783-C782)/C782,"")</f>
        <v>0.00437158469945357</v>
      </c>
      <c r="E783" s="20" t="n">
        <f aca="false">IF(B783=B782,(1+E782)*(1+IF(D783="",0,D783))-1,0)</f>
        <v>0.0721666666666672</v>
      </c>
      <c r="F783" s="21" t="n">
        <f aca="false">IF(B783=B782,MAX(F782,C783),C783)</f>
        <v>66.98</v>
      </c>
      <c r="G783" s="20" t="n">
        <f aca="false">(C783-F783)/F783</f>
        <v>-0.0395640489698418</v>
      </c>
      <c r="H783" s="21" t="n">
        <f aca="true">IF(COUNTIFS($B$2:B783,B783)&gt;=20,AVERAGE(OFFSET(C783,-19,0,20,1)),"")</f>
        <v>65.291</v>
      </c>
      <c r="I783" s="21" t="n">
        <f aca="true">IF(COUNTIFS($B$2:B783,B783)&gt;=50,AVERAGE(OFFSET(C783,-49,0,50,1)),"")</f>
        <v>64.4424</v>
      </c>
    </row>
    <row r="784" customFormat="false" ht="15" hidden="false" customHeight="false" outlineLevel="0" collapsed="false">
      <c r="A784" s="17" t="n">
        <f aca="false">Cours_Bruts!A784</f>
        <v>45805</v>
      </c>
      <c r="B784" s="18" t="str">
        <f aca="false">Cours_Bruts!B784</f>
        <v>KO</v>
      </c>
      <c r="C784" s="19" t="n">
        <f aca="false">Cours_Bruts!C784</f>
        <v>64.39</v>
      </c>
      <c r="D784" s="20" t="n">
        <f aca="false">IF(B784=B783,(C784-C783)/C783,"")</f>
        <v>0.000932690812995527</v>
      </c>
      <c r="E784" s="20" t="n">
        <f aca="false">IF(B784=B783,(1+E783)*(1+IF(D784="",0,D784))-1,0)</f>
        <v>0.0731666666666673</v>
      </c>
      <c r="F784" s="21" t="n">
        <f aca="false">IF(B784=B783,MAX(F783,C784),C784)</f>
        <v>66.98</v>
      </c>
      <c r="G784" s="20" t="n">
        <f aca="false">(C784-F784)/F784</f>
        <v>-0.0386682591818454</v>
      </c>
      <c r="H784" s="21" t="n">
        <f aca="true">IF(COUNTIFS($B$2:B784,B784)&gt;=20,AVERAGE(OFFSET(C784,-19,0,20,1)),"")</f>
        <v>65.1995</v>
      </c>
      <c r="I784" s="21" t="n">
        <f aca="true">IF(COUNTIFS($B$2:B784,B784)&gt;=50,AVERAGE(OFFSET(C784,-49,0,50,1)),"")</f>
        <v>64.502</v>
      </c>
    </row>
    <row r="785" customFormat="false" ht="15" hidden="false" customHeight="false" outlineLevel="0" collapsed="false">
      <c r="A785" s="17" t="n">
        <f aca="false">Cours_Bruts!A785</f>
        <v>45806</v>
      </c>
      <c r="B785" s="18" t="str">
        <f aca="false">Cours_Bruts!B785</f>
        <v>KO</v>
      </c>
      <c r="C785" s="19" t="n">
        <f aca="false">Cours_Bruts!C785</f>
        <v>63.67</v>
      </c>
      <c r="D785" s="20" t="n">
        <f aca="false">IF(B785=B784,(C785-C784)/C784,"")</f>
        <v>-0.0111818605373505</v>
      </c>
      <c r="E785" s="20" t="n">
        <f aca="false">IF(B785=B784,(1+E784)*(1+IF(D785="",0,D785))-1,0)</f>
        <v>0.0611666666666673</v>
      </c>
      <c r="F785" s="21" t="n">
        <f aca="false">IF(B785=B784,MAX(F784,C785),C785)</f>
        <v>66.98</v>
      </c>
      <c r="G785" s="20" t="n">
        <f aca="false">(C785-F785)/F785</f>
        <v>-0.0494177366378024</v>
      </c>
      <c r="H785" s="21" t="n">
        <f aca="true">IF(COUNTIFS($B$2:B785,B785)&gt;=20,AVERAGE(OFFSET(C785,-19,0,20,1)),"")</f>
        <v>65.0635</v>
      </c>
      <c r="I785" s="21" t="n">
        <f aca="true">IF(COUNTIFS($B$2:B785,B785)&gt;=50,AVERAGE(OFFSET(C785,-49,0,50,1)),"")</f>
        <v>64.5236</v>
      </c>
    </row>
    <row r="786" customFormat="false" ht="15" hidden="false" customHeight="false" outlineLevel="0" collapsed="false">
      <c r="A786" s="17" t="n">
        <f aca="false">Cours_Bruts!A786</f>
        <v>45807</v>
      </c>
      <c r="B786" s="18" t="str">
        <f aca="false">Cours_Bruts!B786</f>
        <v>KO</v>
      </c>
      <c r="C786" s="19" t="n">
        <f aca="false">Cours_Bruts!C786</f>
        <v>64.25</v>
      </c>
      <c r="D786" s="20" t="n">
        <f aca="false">IF(B786=B785,(C786-C785)/C785,"")</f>
        <v>0.00910947070833985</v>
      </c>
      <c r="E786" s="20" t="n">
        <f aca="false">IF(B786=B785,(1+E785)*(1+IF(D786="",0,D786))-1,0)</f>
        <v>0.070833333333334</v>
      </c>
      <c r="F786" s="21" t="n">
        <f aca="false">IF(B786=B785,MAX(F785,C786),C786)</f>
        <v>66.98</v>
      </c>
      <c r="G786" s="20" t="n">
        <f aca="false">(C786-F786)/F786</f>
        <v>-0.040758435353837</v>
      </c>
      <c r="H786" s="21" t="n">
        <f aca="true">IF(COUNTIFS($B$2:B786,B786)&gt;=20,AVERAGE(OFFSET(C786,-19,0,20,1)),"")</f>
        <v>64.972</v>
      </c>
      <c r="I786" s="21" t="n">
        <f aca="true">IF(COUNTIFS($B$2:B786,B786)&gt;=50,AVERAGE(OFFSET(C786,-49,0,50,1)),"")</f>
        <v>64.5376</v>
      </c>
    </row>
    <row r="787" customFormat="false" ht="15" hidden="false" customHeight="false" outlineLevel="0" collapsed="false">
      <c r="A787" s="17" t="n">
        <f aca="false">Cours_Bruts!A787</f>
        <v>45810</v>
      </c>
      <c r="B787" s="18" t="str">
        <f aca="false">Cours_Bruts!B787</f>
        <v>KO</v>
      </c>
      <c r="C787" s="19" t="n">
        <f aca="false">Cours_Bruts!C787</f>
        <v>63.98</v>
      </c>
      <c r="D787" s="20" t="n">
        <f aca="false">IF(B787=B786,(C787-C786)/C786,"")</f>
        <v>-0.00420233463035024</v>
      </c>
      <c r="E787" s="20" t="n">
        <f aca="false">IF(B787=B786,(1+E786)*(1+IF(D787="",0,D787))-1,0)</f>
        <v>0.066333333333334</v>
      </c>
      <c r="F787" s="21" t="n">
        <f aca="false">IF(B787=B786,MAX(F786,C787),C787)</f>
        <v>66.98</v>
      </c>
      <c r="G787" s="20" t="n">
        <f aca="false">(C787-F787)/F787</f>
        <v>-0.0447894893998209</v>
      </c>
      <c r="H787" s="21" t="n">
        <f aca="true">IF(COUNTIFS($B$2:B787,B787)&gt;=20,AVERAGE(OFFSET(C787,-19,0,20,1)),"")</f>
        <v>64.886</v>
      </c>
      <c r="I787" s="21" t="n">
        <f aca="true">IF(COUNTIFS($B$2:B787,B787)&gt;=50,AVERAGE(OFFSET(C787,-49,0,50,1)),"")</f>
        <v>64.541</v>
      </c>
    </row>
    <row r="788" customFormat="false" ht="15" hidden="false" customHeight="false" outlineLevel="0" collapsed="false">
      <c r="A788" s="17" t="n">
        <f aca="false">Cours_Bruts!A788</f>
        <v>45811</v>
      </c>
      <c r="B788" s="18" t="str">
        <f aca="false">Cours_Bruts!B788</f>
        <v>KO</v>
      </c>
      <c r="C788" s="19" t="n">
        <f aca="false">Cours_Bruts!C788</f>
        <v>63.11</v>
      </c>
      <c r="D788" s="20" t="n">
        <f aca="false">IF(B788=B787,(C788-C787)/C787,"")</f>
        <v>-0.0135979993748046</v>
      </c>
      <c r="E788" s="20" t="n">
        <f aca="false">IF(B788=B787,(1+E787)*(1+IF(D788="",0,D788))-1,0)</f>
        <v>0.0518333333333341</v>
      </c>
      <c r="F788" s="21" t="n">
        <f aca="false">IF(B788=B787,MAX(F787,C788),C788)</f>
        <v>66.98</v>
      </c>
      <c r="G788" s="20" t="n">
        <f aca="false">(C788-F788)/F788</f>
        <v>-0.057778441325769</v>
      </c>
      <c r="H788" s="21" t="n">
        <f aca="true">IF(COUNTIFS($B$2:B788,B788)&gt;=20,AVERAGE(OFFSET(C788,-19,0,20,1)),"")</f>
        <v>64.7565</v>
      </c>
      <c r="I788" s="21" t="n">
        <f aca="true">IF(COUNTIFS($B$2:B788,B788)&gt;=50,AVERAGE(OFFSET(C788,-49,0,50,1)),"")</f>
        <v>64.5264</v>
      </c>
    </row>
    <row r="789" customFormat="false" ht="15" hidden="false" customHeight="false" outlineLevel="0" collapsed="false">
      <c r="A789" s="17" t="n">
        <f aca="false">Cours_Bruts!A789</f>
        <v>45812</v>
      </c>
      <c r="B789" s="18" t="str">
        <f aca="false">Cours_Bruts!B789</f>
        <v>KO</v>
      </c>
      <c r="C789" s="19" t="n">
        <f aca="false">Cours_Bruts!C789</f>
        <v>62.89</v>
      </c>
      <c r="D789" s="20" t="n">
        <f aca="false">IF(B789=B788,(C789-C788)/C788,"")</f>
        <v>-0.00348597686578987</v>
      </c>
      <c r="E789" s="20" t="n">
        <f aca="false">IF(B789=B788,(1+E788)*(1+IF(D789="",0,D789))-1,0)</f>
        <v>0.0481666666666674</v>
      </c>
      <c r="F789" s="21" t="n">
        <f aca="false">IF(B789=B788,MAX(F788,C789),C789)</f>
        <v>66.98</v>
      </c>
      <c r="G789" s="20" t="n">
        <f aca="false">(C789-F789)/F789</f>
        <v>-0.0610630038817558</v>
      </c>
      <c r="H789" s="21" t="n">
        <f aca="true">IF(COUNTIFS($B$2:B789,B789)&gt;=20,AVERAGE(OFFSET(C789,-19,0,20,1)),"")</f>
        <v>64.5815</v>
      </c>
      <c r="I789" s="21" t="n">
        <f aca="true">IF(COUNTIFS($B$2:B789,B789)&gt;=50,AVERAGE(OFFSET(C789,-49,0,50,1)),"")</f>
        <v>64.5058</v>
      </c>
    </row>
    <row r="790" customFormat="false" ht="15" hidden="false" customHeight="false" outlineLevel="0" collapsed="false">
      <c r="A790" s="17" t="n">
        <f aca="false">Cours_Bruts!A790</f>
        <v>45813</v>
      </c>
      <c r="B790" s="18" t="str">
        <f aca="false">Cours_Bruts!B790</f>
        <v>KO</v>
      </c>
      <c r="C790" s="19" t="n">
        <f aca="false">Cours_Bruts!C790</f>
        <v>63.73</v>
      </c>
      <c r="D790" s="20" t="n">
        <f aca="false">IF(B790=B789,(C790-C789)/C789,"")</f>
        <v>0.0133566544760693</v>
      </c>
      <c r="E790" s="20" t="n">
        <f aca="false">IF(B790=B789,(1+E789)*(1+IF(D790="",0,D790))-1,0)</f>
        <v>0.0621666666666674</v>
      </c>
      <c r="F790" s="21" t="n">
        <f aca="false">IF(B790=B789,MAX(F789,C790),C790)</f>
        <v>66.98</v>
      </c>
      <c r="G790" s="20" t="n">
        <f aca="false">(C790-F790)/F790</f>
        <v>-0.048521946849806</v>
      </c>
      <c r="H790" s="21" t="n">
        <f aca="true">IF(COUNTIFS($B$2:B790,B790)&gt;=20,AVERAGE(OFFSET(C790,-19,0,20,1)),"")</f>
        <v>64.432</v>
      </c>
      <c r="I790" s="21" t="n">
        <f aca="true">IF(COUNTIFS($B$2:B790,B790)&gt;=50,AVERAGE(OFFSET(C790,-49,0,50,1)),"")</f>
        <v>64.4948</v>
      </c>
    </row>
    <row r="791" customFormat="false" ht="15" hidden="false" customHeight="false" outlineLevel="0" collapsed="false">
      <c r="A791" s="17" t="n">
        <f aca="false">Cours_Bruts!A791</f>
        <v>45814</v>
      </c>
      <c r="B791" s="18" t="str">
        <f aca="false">Cours_Bruts!B791</f>
        <v>KO</v>
      </c>
      <c r="C791" s="19" t="n">
        <f aca="false">Cours_Bruts!C791</f>
        <v>64.22</v>
      </c>
      <c r="D791" s="20" t="n">
        <f aca="false">IF(B791=B790,(C791-C790)/C790,"")</f>
        <v>0.00768868664679118</v>
      </c>
      <c r="E791" s="20" t="n">
        <f aca="false">IF(B791=B790,(1+E790)*(1+IF(D791="",0,D791))-1,0)</f>
        <v>0.070333333333334</v>
      </c>
      <c r="F791" s="21" t="n">
        <f aca="false">IF(B791=B790,MAX(F790,C791),C791)</f>
        <v>66.98</v>
      </c>
      <c r="G791" s="20" t="n">
        <f aca="false">(C791-F791)/F791</f>
        <v>-0.0412063302478353</v>
      </c>
      <c r="H791" s="21" t="n">
        <f aca="true">IF(COUNTIFS($B$2:B791,B791)&gt;=20,AVERAGE(OFFSET(C791,-19,0,20,1)),"")</f>
        <v>64.317</v>
      </c>
      <c r="I791" s="21" t="n">
        <f aca="true">IF(COUNTIFS($B$2:B791,B791)&gt;=50,AVERAGE(OFFSET(C791,-49,0,50,1)),"")</f>
        <v>64.505</v>
      </c>
    </row>
    <row r="792" customFormat="false" ht="15" hidden="false" customHeight="false" outlineLevel="0" collapsed="false">
      <c r="A792" s="17" t="n">
        <f aca="false">Cours_Bruts!A792</f>
        <v>45817</v>
      </c>
      <c r="B792" s="18" t="str">
        <f aca="false">Cours_Bruts!B792</f>
        <v>KO</v>
      </c>
      <c r="C792" s="19" t="n">
        <f aca="false">Cours_Bruts!C792</f>
        <v>64.04</v>
      </c>
      <c r="D792" s="20" t="n">
        <f aca="false">IF(B792=B791,(C792-C791)/C791,"")</f>
        <v>-0.00280286515104317</v>
      </c>
      <c r="E792" s="20" t="n">
        <f aca="false">IF(B792=B791,(1+E791)*(1+IF(D792="",0,D792))-1,0)</f>
        <v>0.0673333333333341</v>
      </c>
      <c r="F792" s="21" t="n">
        <f aca="false">IF(B792=B791,MAX(F791,C792),C792)</f>
        <v>66.98</v>
      </c>
      <c r="G792" s="20" t="n">
        <f aca="false">(C792-F792)/F792</f>
        <v>-0.0438936996118244</v>
      </c>
      <c r="H792" s="21" t="n">
        <f aca="true">IF(COUNTIFS($B$2:B792,B792)&gt;=20,AVERAGE(OFFSET(C792,-19,0,20,1)),"")</f>
        <v>64.17</v>
      </c>
      <c r="I792" s="21" t="n">
        <f aca="true">IF(COUNTIFS($B$2:B792,B792)&gt;=50,AVERAGE(OFFSET(C792,-49,0,50,1)),"")</f>
        <v>64.5142</v>
      </c>
    </row>
    <row r="793" customFormat="false" ht="15" hidden="false" customHeight="false" outlineLevel="0" collapsed="false">
      <c r="A793" s="17" t="n">
        <f aca="false">Cours_Bruts!A793</f>
        <v>45818</v>
      </c>
      <c r="B793" s="18" t="str">
        <f aca="false">Cours_Bruts!B793</f>
        <v>KO</v>
      </c>
      <c r="C793" s="19" t="n">
        <f aca="false">Cours_Bruts!C793</f>
        <v>63.85</v>
      </c>
      <c r="D793" s="20" t="n">
        <f aca="false">IF(B793=B792,(C793-C792)/C792,"")</f>
        <v>-0.0029668956901937</v>
      </c>
      <c r="E793" s="20" t="n">
        <f aca="false">IF(B793=B792,(1+E792)*(1+IF(D793="",0,D793))-1,0)</f>
        <v>0.0641666666666674</v>
      </c>
      <c r="F793" s="21" t="n">
        <f aca="false">IF(B793=B792,MAX(F792,C793),C793)</f>
        <v>66.98</v>
      </c>
      <c r="G793" s="20" t="n">
        <f aca="false">(C793-F793)/F793</f>
        <v>-0.0467303672738131</v>
      </c>
      <c r="H793" s="21" t="n">
        <f aca="true">IF(COUNTIFS($B$2:B793,B793)&gt;=20,AVERAGE(OFFSET(C793,-19,0,20,1)),"")</f>
        <v>64.097</v>
      </c>
      <c r="I793" s="21" t="n">
        <f aca="true">IF(COUNTIFS($B$2:B793,B793)&gt;=50,AVERAGE(OFFSET(C793,-49,0,50,1)),"")</f>
        <v>64.538</v>
      </c>
    </row>
    <row r="794" customFormat="false" ht="15" hidden="false" customHeight="false" outlineLevel="0" collapsed="false">
      <c r="A794" s="17" t="n">
        <f aca="false">Cours_Bruts!A794</f>
        <v>45819</v>
      </c>
      <c r="B794" s="18" t="str">
        <f aca="false">Cours_Bruts!B794</f>
        <v>KO</v>
      </c>
      <c r="C794" s="19" t="n">
        <f aca="false">Cours_Bruts!C794</f>
        <v>63.69</v>
      </c>
      <c r="D794" s="20" t="n">
        <f aca="false">IF(B794=B793,(C794-C793)/C793,"")</f>
        <v>-0.00250587314017234</v>
      </c>
      <c r="E794" s="20" t="n">
        <f aca="false">IF(B794=B793,(1+E793)*(1+IF(D794="",0,D794))-1,0)</f>
        <v>0.0615000000000006</v>
      </c>
      <c r="F794" s="21" t="n">
        <f aca="false">IF(B794=B793,MAX(F793,C794),C794)</f>
        <v>66.98</v>
      </c>
      <c r="G794" s="20" t="n">
        <f aca="false">(C794-F794)/F794</f>
        <v>-0.0491191400418036</v>
      </c>
      <c r="H794" s="21" t="n">
        <f aca="true">IF(COUNTIFS($B$2:B794,B794)&gt;=20,AVERAGE(OFFSET(C794,-19,0,20,1)),"")</f>
        <v>63.982</v>
      </c>
      <c r="I794" s="21" t="n">
        <f aca="true">IF(COUNTIFS($B$2:B794,B794)&gt;=50,AVERAGE(OFFSET(C794,-49,0,50,1)),"")</f>
        <v>64.554</v>
      </c>
    </row>
    <row r="795" customFormat="false" ht="15" hidden="false" customHeight="false" outlineLevel="0" collapsed="false">
      <c r="A795" s="17" t="n">
        <f aca="false">Cours_Bruts!A795</f>
        <v>45820</v>
      </c>
      <c r="B795" s="18" t="str">
        <f aca="false">Cours_Bruts!B795</f>
        <v>KO</v>
      </c>
      <c r="C795" s="19" t="n">
        <f aca="false">Cours_Bruts!C795</f>
        <v>64.87</v>
      </c>
      <c r="D795" s="20" t="n">
        <f aca="false">IF(B795=B794,(C795-C794)/C794,"")</f>
        <v>0.0185272413251689</v>
      </c>
      <c r="E795" s="20" t="n">
        <f aca="false">IF(B795=B794,(1+E794)*(1+IF(D795="",0,D795))-1,0)</f>
        <v>0.0811666666666673</v>
      </c>
      <c r="F795" s="21" t="n">
        <f aca="false">IF(B795=B794,MAX(F794,C795),C795)</f>
        <v>66.98</v>
      </c>
      <c r="G795" s="20" t="n">
        <f aca="false">(C795-F795)/F795</f>
        <v>-0.031501940877874</v>
      </c>
      <c r="H795" s="21" t="n">
        <f aca="true">IF(COUNTIFS($B$2:B795,B795)&gt;=20,AVERAGE(OFFSET(C795,-19,0,20,1)),"")</f>
        <v>63.976</v>
      </c>
      <c r="I795" s="21" t="n">
        <f aca="true">IF(COUNTIFS($B$2:B795,B795)&gt;=50,AVERAGE(OFFSET(C795,-49,0,50,1)),"")</f>
        <v>64.5862</v>
      </c>
    </row>
    <row r="796" customFormat="false" ht="15" hidden="false" customHeight="false" outlineLevel="0" collapsed="false">
      <c r="A796" s="17" t="n">
        <f aca="false">Cours_Bruts!A796</f>
        <v>45821</v>
      </c>
      <c r="B796" s="18" t="str">
        <f aca="false">Cours_Bruts!B796</f>
        <v>KO</v>
      </c>
      <c r="C796" s="19" t="n">
        <f aca="false">Cours_Bruts!C796</f>
        <v>65.1</v>
      </c>
      <c r="D796" s="20" t="n">
        <f aca="false">IF(B796=B795,(C796-C795)/C795,"")</f>
        <v>0.00354555264374888</v>
      </c>
      <c r="E796" s="20" t="n">
        <f aca="false">IF(B796=B795,(1+E795)*(1+IF(D796="",0,D796))-1,0)</f>
        <v>0.0850000000000004</v>
      </c>
      <c r="F796" s="21" t="n">
        <f aca="false">IF(B796=B795,MAX(F795,C796),C796)</f>
        <v>66.98</v>
      </c>
      <c r="G796" s="20" t="n">
        <f aca="false">(C796-F796)/F796</f>
        <v>-0.0280680800238879</v>
      </c>
      <c r="H796" s="21" t="n">
        <f aca="true">IF(COUNTIFS($B$2:B796,B796)&gt;=20,AVERAGE(OFFSET(C796,-19,0,20,1)),"")</f>
        <v>63.9915</v>
      </c>
      <c r="I796" s="21" t="n">
        <f aca="true">IF(COUNTIFS($B$2:B796,B796)&gt;=50,AVERAGE(OFFSET(C796,-49,0,50,1)),"")</f>
        <v>64.628</v>
      </c>
    </row>
    <row r="797" customFormat="false" ht="15" hidden="false" customHeight="false" outlineLevel="0" collapsed="false">
      <c r="A797" s="17" t="n">
        <f aca="false">Cours_Bruts!A797</f>
        <v>45824</v>
      </c>
      <c r="B797" s="18" t="str">
        <f aca="false">Cours_Bruts!B797</f>
        <v>KO</v>
      </c>
      <c r="C797" s="19" t="n">
        <f aca="false">Cours_Bruts!C797</f>
        <v>65.36</v>
      </c>
      <c r="D797" s="20" t="n">
        <f aca="false">IF(B797=B796,(C797-C796)/C796,"")</f>
        <v>0.00399385560675891</v>
      </c>
      <c r="E797" s="20" t="n">
        <f aca="false">IF(B797=B796,(1+E796)*(1+IF(D797="",0,D797))-1,0)</f>
        <v>0.0893333333333339</v>
      </c>
      <c r="F797" s="21" t="n">
        <f aca="false">IF(B797=B796,MAX(F796,C797),C797)</f>
        <v>66.98</v>
      </c>
      <c r="G797" s="20" t="n">
        <f aca="false">(C797-F797)/F797</f>
        <v>-0.0241863242759033</v>
      </c>
      <c r="H797" s="21" t="n">
        <f aca="true">IF(COUNTIFS($B$2:B797,B797)&gt;=20,AVERAGE(OFFSET(C797,-19,0,20,1)),"")</f>
        <v>64.051</v>
      </c>
      <c r="I797" s="21" t="n">
        <f aca="true">IF(COUNTIFS($B$2:B797,B797)&gt;=50,AVERAGE(OFFSET(C797,-49,0,50,1)),"")</f>
        <v>64.6574</v>
      </c>
    </row>
    <row r="798" customFormat="false" ht="15" hidden="false" customHeight="false" outlineLevel="0" collapsed="false">
      <c r="A798" s="17" t="n">
        <f aca="false">Cours_Bruts!A798</f>
        <v>45825</v>
      </c>
      <c r="B798" s="18" t="str">
        <f aca="false">Cours_Bruts!B798</f>
        <v>KO</v>
      </c>
      <c r="C798" s="19" t="n">
        <f aca="false">Cours_Bruts!C798</f>
        <v>65.96</v>
      </c>
      <c r="D798" s="20" t="n">
        <f aca="false">IF(B798=B797,(C798-C797)/C797,"")</f>
        <v>0.00917992656058743</v>
      </c>
      <c r="E798" s="20" t="n">
        <f aca="false">IF(B798=B797,(1+E797)*(1+IF(D798="",0,D798))-1,0)</f>
        <v>0.0993333333333337</v>
      </c>
      <c r="F798" s="21" t="n">
        <f aca="false">IF(B798=B797,MAX(F797,C798),C798)</f>
        <v>66.98</v>
      </c>
      <c r="G798" s="20" t="n">
        <f aca="false">(C798-F798)/F798</f>
        <v>-0.0152284263959392</v>
      </c>
      <c r="H798" s="21" t="n">
        <f aca="true">IF(COUNTIFS($B$2:B798,B798)&gt;=20,AVERAGE(OFFSET(C798,-19,0,20,1)),"")</f>
        <v>64.1765</v>
      </c>
      <c r="I798" s="21" t="n">
        <f aca="true">IF(COUNTIFS($B$2:B798,B798)&gt;=50,AVERAGE(OFFSET(C798,-49,0,50,1)),"")</f>
        <v>64.7122</v>
      </c>
    </row>
    <row r="799" customFormat="false" ht="15" hidden="false" customHeight="false" outlineLevel="0" collapsed="false">
      <c r="A799" s="17" t="n">
        <f aca="false">Cours_Bruts!A799</f>
        <v>45826</v>
      </c>
      <c r="B799" s="18" t="str">
        <f aca="false">Cours_Bruts!B799</f>
        <v>KO</v>
      </c>
      <c r="C799" s="19" t="n">
        <f aca="false">Cours_Bruts!C799</f>
        <v>66.12</v>
      </c>
      <c r="D799" s="20" t="n">
        <f aca="false">IF(B799=B798,(C799-C798)/C798,"")</f>
        <v>0.00242571255306263</v>
      </c>
      <c r="E799" s="20" t="n">
        <f aca="false">IF(B799=B798,(1+E798)*(1+IF(D799="",0,D799))-1,0)</f>
        <v>0.102000000000001</v>
      </c>
      <c r="F799" s="21" t="n">
        <f aca="false">IF(B799=B798,MAX(F798,C799),C799)</f>
        <v>66.98</v>
      </c>
      <c r="G799" s="20" t="n">
        <f aca="false">(C799-F799)/F799</f>
        <v>-0.0128396536279486</v>
      </c>
      <c r="H799" s="21" t="n">
        <f aca="true">IF(COUNTIFS($B$2:B799,B799)&gt;=20,AVERAGE(OFFSET(C799,-19,0,20,1)),"")</f>
        <v>64.277</v>
      </c>
      <c r="I799" s="21" t="n">
        <f aca="true">IF(COUNTIFS($B$2:B799,B799)&gt;=50,AVERAGE(OFFSET(C799,-49,0,50,1)),"")</f>
        <v>64.7864</v>
      </c>
    </row>
    <row r="800" customFormat="false" ht="15" hidden="false" customHeight="false" outlineLevel="0" collapsed="false">
      <c r="A800" s="17" t="n">
        <f aca="false">Cours_Bruts!A800</f>
        <v>45827</v>
      </c>
      <c r="B800" s="18" t="str">
        <f aca="false">Cours_Bruts!B800</f>
        <v>KO</v>
      </c>
      <c r="C800" s="19" t="n">
        <f aca="false">Cours_Bruts!C800</f>
        <v>65.98</v>
      </c>
      <c r="D800" s="20" t="n">
        <f aca="false">IF(B800=B799,(C800-C799)/C799,"")</f>
        <v>-0.00211736237144586</v>
      </c>
      <c r="E800" s="20" t="n">
        <f aca="false">IF(B800=B799,(1+E799)*(1+IF(D800="",0,D800))-1,0)</f>
        <v>0.0996666666666672</v>
      </c>
      <c r="F800" s="21" t="n">
        <f aca="false">IF(B800=B799,MAX(F799,C800),C800)</f>
        <v>66.98</v>
      </c>
      <c r="G800" s="20" t="n">
        <f aca="false">(C800-F800)/F800</f>
        <v>-0.0149298297999403</v>
      </c>
      <c r="H800" s="21" t="n">
        <f aca="true">IF(COUNTIFS($B$2:B800,B800)&gt;=20,AVERAGE(OFFSET(C800,-19,0,20,1)),"")</f>
        <v>64.383</v>
      </c>
      <c r="I800" s="21" t="n">
        <f aca="true">IF(COUNTIFS($B$2:B800,B800)&gt;=50,AVERAGE(OFFSET(C800,-49,0,50,1)),"")</f>
        <v>64.855</v>
      </c>
    </row>
    <row r="801" customFormat="false" ht="15" hidden="false" customHeight="false" outlineLevel="0" collapsed="false">
      <c r="A801" s="17" t="n">
        <f aca="false">Cours_Bruts!A801</f>
        <v>45828</v>
      </c>
      <c r="B801" s="18" t="str">
        <f aca="false">Cours_Bruts!B801</f>
        <v>KO</v>
      </c>
      <c r="C801" s="19" t="n">
        <f aca="false">Cours_Bruts!C801</f>
        <v>65.88</v>
      </c>
      <c r="D801" s="20" t="n">
        <f aca="false">IF(B801=B800,(C801-C800)/C800,"")</f>
        <v>-0.00151561079114896</v>
      </c>
      <c r="E801" s="20" t="n">
        <f aca="false">IF(B801=B800,(1+E800)*(1+IF(D801="",0,D801))-1,0)</f>
        <v>0.0980000000000005</v>
      </c>
      <c r="F801" s="21" t="n">
        <f aca="false">IF(B801=B800,MAX(F800,C801),C801)</f>
        <v>66.98</v>
      </c>
      <c r="G801" s="20" t="n">
        <f aca="false">(C801-F801)/F801</f>
        <v>-0.0164228127799344</v>
      </c>
      <c r="H801" s="21" t="n">
        <f aca="true">IF(COUNTIFS($B$2:B801,B801)&gt;=20,AVERAGE(OFFSET(C801,-19,0,20,1)),"")</f>
        <v>64.4735</v>
      </c>
      <c r="I801" s="21" t="n">
        <f aca="true">IF(COUNTIFS($B$2:B801,B801)&gt;=50,AVERAGE(OFFSET(C801,-49,0,50,1)),"")</f>
        <v>64.9098</v>
      </c>
    </row>
    <row r="802" customFormat="false" ht="15" hidden="false" customHeight="false" outlineLevel="0" collapsed="false">
      <c r="A802" s="17" t="n">
        <f aca="false">Cours_Bruts!A802</f>
        <v>45719</v>
      </c>
      <c r="B802" s="18" t="str">
        <f aca="false">Cours_Bruts!B802</f>
        <v>CAC40</v>
      </c>
      <c r="C802" s="19" t="n">
        <f aca="false">Cours_Bruts!C802</f>
        <v>7500</v>
      </c>
      <c r="D802" s="20" t="str">
        <f aca="false">IF(B802=B801,(C802-C801)/C801,"")</f>
        <v/>
      </c>
      <c r="E802" s="20" t="n">
        <f aca="false">IF(B802=B801,(1+E801)*(1+IF(D802="",0,D802))-1,0)</f>
        <v>0</v>
      </c>
      <c r="F802" s="21" t="n">
        <f aca="false">IF(B802=B801,MAX(F801,C802),C802)</f>
        <v>7500</v>
      </c>
      <c r="G802" s="20" t="n">
        <f aca="false">(C802-F802)/F802</f>
        <v>0</v>
      </c>
      <c r="H802" s="21" t="str">
        <f aca="true">IF(COUNTIFS($B$2:B802,B802)&gt;=20,AVERAGE(OFFSET(C802,-19,0,20,1)),"")</f>
        <v/>
      </c>
      <c r="I802" s="21" t="str">
        <f aca="true">IF(COUNTIFS($B$2:B802,B802)&gt;=50,AVERAGE(OFFSET(C802,-49,0,50,1)),"")</f>
        <v/>
      </c>
    </row>
    <row r="803" customFormat="false" ht="15" hidden="false" customHeight="false" outlineLevel="0" collapsed="false">
      <c r="A803" s="17" t="n">
        <f aca="false">Cours_Bruts!A803</f>
        <v>45720</v>
      </c>
      <c r="B803" s="18" t="str">
        <f aca="false">Cours_Bruts!B803</f>
        <v>CAC40</v>
      </c>
      <c r="C803" s="19" t="n">
        <f aca="false">Cours_Bruts!C803</f>
        <v>7524.21</v>
      </c>
      <c r="D803" s="20" t="n">
        <f aca="false">IF(B803=B802,(C803-C802)/C802,"")</f>
        <v>0.003228</v>
      </c>
      <c r="E803" s="20" t="n">
        <f aca="false">IF(B803=B802,(1+E802)*(1+IF(D803="",0,D803))-1,0)</f>
        <v>0.00322800000000001</v>
      </c>
      <c r="F803" s="21" t="n">
        <f aca="false">IF(B803=B802,MAX(F802,C803),C803)</f>
        <v>7524.21</v>
      </c>
      <c r="G803" s="20" t="n">
        <f aca="false">(C803-F803)/F803</f>
        <v>0</v>
      </c>
      <c r="H803" s="21" t="str">
        <f aca="true">IF(COUNTIFS($B$2:B803,B803)&gt;=20,AVERAGE(OFFSET(C803,-19,0,20,1)),"")</f>
        <v/>
      </c>
      <c r="I803" s="21" t="str">
        <f aca="true">IF(COUNTIFS($B$2:B803,B803)&gt;=50,AVERAGE(OFFSET(C803,-49,0,50,1)),"")</f>
        <v/>
      </c>
    </row>
    <row r="804" customFormat="false" ht="15" hidden="false" customHeight="false" outlineLevel="0" collapsed="false">
      <c r="A804" s="17" t="n">
        <f aca="false">Cours_Bruts!A804</f>
        <v>45721</v>
      </c>
      <c r="B804" s="18" t="str">
        <f aca="false">Cours_Bruts!B804</f>
        <v>CAC40</v>
      </c>
      <c r="C804" s="19" t="n">
        <f aca="false">Cours_Bruts!C804</f>
        <v>7602.23</v>
      </c>
      <c r="D804" s="20" t="n">
        <f aca="false">IF(B804=B803,(C804-C803)/C803,"")</f>
        <v>0.0103691949055116</v>
      </c>
      <c r="E804" s="20" t="n">
        <f aca="false">IF(B804=B803,(1+E803)*(1+IF(D804="",0,D804))-1,0)</f>
        <v>0.0136306666666666</v>
      </c>
      <c r="F804" s="21" t="n">
        <f aca="false">IF(B804=B803,MAX(F803,C804),C804)</f>
        <v>7602.23</v>
      </c>
      <c r="G804" s="20" t="n">
        <f aca="false">(C804-F804)/F804</f>
        <v>0</v>
      </c>
      <c r="H804" s="21" t="str">
        <f aca="true">IF(COUNTIFS($B$2:B804,B804)&gt;=20,AVERAGE(OFFSET(C804,-19,0,20,1)),"")</f>
        <v/>
      </c>
      <c r="I804" s="21" t="str">
        <f aca="true">IF(COUNTIFS($B$2:B804,B804)&gt;=50,AVERAGE(OFFSET(C804,-49,0,50,1)),"")</f>
        <v/>
      </c>
    </row>
    <row r="805" customFormat="false" ht="15" hidden="false" customHeight="false" outlineLevel="0" collapsed="false">
      <c r="A805" s="17" t="n">
        <f aca="false">Cours_Bruts!A805</f>
        <v>45722</v>
      </c>
      <c r="B805" s="18" t="str">
        <f aca="false">Cours_Bruts!B805</f>
        <v>CAC40</v>
      </c>
      <c r="C805" s="19" t="n">
        <f aca="false">Cours_Bruts!C805</f>
        <v>7584.7</v>
      </c>
      <c r="D805" s="20" t="n">
        <f aca="false">IF(B805=B804,(C805-C804)/C804,"")</f>
        <v>-0.00230590234707444</v>
      </c>
      <c r="E805" s="20" t="n">
        <f aca="false">IF(B805=B804,(1+E804)*(1+IF(D805="",0,D805))-1,0)</f>
        <v>0.0112933333333334</v>
      </c>
      <c r="F805" s="21" t="n">
        <f aca="false">IF(B805=B804,MAX(F804,C805),C805)</f>
        <v>7602.23</v>
      </c>
      <c r="G805" s="20" t="n">
        <f aca="false">(C805-F805)/F805</f>
        <v>-0.00230590234707444</v>
      </c>
      <c r="H805" s="21" t="str">
        <f aca="true">IF(COUNTIFS($B$2:B805,B805)&gt;=20,AVERAGE(OFFSET(C805,-19,0,20,1)),"")</f>
        <v/>
      </c>
      <c r="I805" s="21" t="str">
        <f aca="true">IF(COUNTIFS($B$2:B805,B805)&gt;=50,AVERAGE(OFFSET(C805,-49,0,50,1)),"")</f>
        <v/>
      </c>
    </row>
    <row r="806" customFormat="false" ht="15" hidden="false" customHeight="false" outlineLevel="0" collapsed="false">
      <c r="A806" s="17" t="n">
        <f aca="false">Cours_Bruts!A806</f>
        <v>45723</v>
      </c>
      <c r="B806" s="18" t="str">
        <f aca="false">Cours_Bruts!B806</f>
        <v>CAC40</v>
      </c>
      <c r="C806" s="19" t="n">
        <f aca="false">Cours_Bruts!C806</f>
        <v>7612.54</v>
      </c>
      <c r="D806" s="20" t="n">
        <f aca="false">IF(B806=B805,(C806-C805)/C805,"")</f>
        <v>0.00367054728598364</v>
      </c>
      <c r="E806" s="20" t="n">
        <f aca="false">IF(B806=B805,(1+E805)*(1+IF(D806="",0,D806))-1,0)</f>
        <v>0.0150053333333335</v>
      </c>
      <c r="F806" s="21" t="n">
        <f aca="false">IF(B806=B805,MAX(F805,C806),C806)</f>
        <v>7612.54</v>
      </c>
      <c r="G806" s="20" t="n">
        <f aca="false">(C806-F806)/F806</f>
        <v>0</v>
      </c>
      <c r="H806" s="21" t="str">
        <f aca="true">IF(COUNTIFS($B$2:B806,B806)&gt;=20,AVERAGE(OFFSET(C806,-19,0,20,1)),"")</f>
        <v/>
      </c>
      <c r="I806" s="21" t="str">
        <f aca="true">IF(COUNTIFS($B$2:B806,B806)&gt;=50,AVERAGE(OFFSET(C806,-49,0,50,1)),"")</f>
        <v/>
      </c>
    </row>
    <row r="807" customFormat="false" ht="15" hidden="false" customHeight="false" outlineLevel="0" collapsed="false">
      <c r="A807" s="17" t="n">
        <f aca="false">Cours_Bruts!A807</f>
        <v>45726</v>
      </c>
      <c r="B807" s="18" t="str">
        <f aca="false">Cours_Bruts!B807</f>
        <v>CAC40</v>
      </c>
      <c r="C807" s="19" t="n">
        <f aca="false">Cours_Bruts!C807</f>
        <v>7724.47</v>
      </c>
      <c r="D807" s="20" t="n">
        <f aca="false">IF(B807=B806,(C807-C806)/C806,"")</f>
        <v>0.0147033710167697</v>
      </c>
      <c r="E807" s="20" t="n">
        <f aca="false">IF(B807=B806,(1+E806)*(1+IF(D807="",0,D807))-1,0)</f>
        <v>0.0299293333333335</v>
      </c>
      <c r="F807" s="21" t="n">
        <f aca="false">IF(B807=B806,MAX(F806,C807),C807)</f>
        <v>7724.47</v>
      </c>
      <c r="G807" s="20" t="n">
        <f aca="false">(C807-F807)/F807</f>
        <v>0</v>
      </c>
      <c r="H807" s="21" t="str">
        <f aca="true">IF(COUNTIFS($B$2:B807,B807)&gt;=20,AVERAGE(OFFSET(C807,-19,0,20,1)),"")</f>
        <v/>
      </c>
      <c r="I807" s="21" t="str">
        <f aca="true">IF(COUNTIFS($B$2:B807,B807)&gt;=50,AVERAGE(OFFSET(C807,-49,0,50,1)),"")</f>
        <v/>
      </c>
    </row>
    <row r="808" customFormat="false" ht="15" hidden="false" customHeight="false" outlineLevel="0" collapsed="false">
      <c r="A808" s="17" t="n">
        <f aca="false">Cours_Bruts!A808</f>
        <v>45727</v>
      </c>
      <c r="B808" s="18" t="str">
        <f aca="false">Cours_Bruts!B808</f>
        <v>CAC40</v>
      </c>
      <c r="C808" s="19" t="n">
        <f aca="false">Cours_Bruts!C808</f>
        <v>7770.25</v>
      </c>
      <c r="D808" s="20" t="n">
        <f aca="false">IF(B808=B807,(C808-C807)/C807,"")</f>
        <v>0.00592662020824726</v>
      </c>
      <c r="E808" s="20" t="n">
        <f aca="false">IF(B808=B807,(1+E807)*(1+IF(D808="",0,D808))-1,0)</f>
        <v>0.0360333333333336</v>
      </c>
      <c r="F808" s="21" t="n">
        <f aca="false">IF(B808=B807,MAX(F807,C808),C808)</f>
        <v>7770.25</v>
      </c>
      <c r="G808" s="20" t="n">
        <f aca="false">(C808-F808)/F808</f>
        <v>0</v>
      </c>
      <c r="H808" s="21" t="str">
        <f aca="true">IF(COUNTIFS($B$2:B808,B808)&gt;=20,AVERAGE(OFFSET(C808,-19,0,20,1)),"")</f>
        <v/>
      </c>
      <c r="I808" s="21" t="str">
        <f aca="true">IF(COUNTIFS($B$2:B808,B808)&gt;=50,AVERAGE(OFFSET(C808,-49,0,50,1)),"")</f>
        <v/>
      </c>
    </row>
    <row r="809" customFormat="false" ht="15" hidden="false" customHeight="false" outlineLevel="0" collapsed="false">
      <c r="A809" s="17" t="n">
        <f aca="false">Cours_Bruts!A809</f>
        <v>45728</v>
      </c>
      <c r="B809" s="18" t="str">
        <f aca="false">Cours_Bruts!B809</f>
        <v>CAC40</v>
      </c>
      <c r="C809" s="19" t="n">
        <f aca="false">Cours_Bruts!C809</f>
        <v>7799.95</v>
      </c>
      <c r="D809" s="20" t="n">
        <f aca="false">IF(B809=B808,(C809-C808)/C808,"")</f>
        <v>0.00382227084070652</v>
      </c>
      <c r="E809" s="20" t="n">
        <f aca="false">IF(B809=B808,(1+E808)*(1+IF(D809="",0,D809))-1,0)</f>
        <v>0.0399933333333336</v>
      </c>
      <c r="F809" s="21" t="n">
        <f aca="false">IF(B809=B808,MAX(F808,C809),C809)</f>
        <v>7799.95</v>
      </c>
      <c r="G809" s="20" t="n">
        <f aca="false">(C809-F809)/F809</f>
        <v>0</v>
      </c>
      <c r="H809" s="21" t="str">
        <f aca="true">IF(COUNTIFS($B$2:B809,B809)&gt;=20,AVERAGE(OFFSET(C809,-19,0,20,1)),"")</f>
        <v/>
      </c>
      <c r="I809" s="21" t="str">
        <f aca="true">IF(COUNTIFS($B$2:B809,B809)&gt;=50,AVERAGE(OFFSET(C809,-49,0,50,1)),"")</f>
        <v/>
      </c>
    </row>
    <row r="810" customFormat="false" ht="15" hidden="false" customHeight="false" outlineLevel="0" collapsed="false">
      <c r="A810" s="17" t="n">
        <f aca="false">Cours_Bruts!A810</f>
        <v>45729</v>
      </c>
      <c r="B810" s="18" t="str">
        <f aca="false">Cours_Bruts!B810</f>
        <v>CAC40</v>
      </c>
      <c r="C810" s="19" t="n">
        <f aca="false">Cours_Bruts!C810</f>
        <v>7669.36</v>
      </c>
      <c r="D810" s="20" t="n">
        <f aca="false">IF(B810=B809,(C810-C809)/C809,"")</f>
        <v>-0.0167424150154809</v>
      </c>
      <c r="E810" s="20" t="n">
        <f aca="false">IF(B810=B809,(1+E809)*(1+IF(D810="",0,D810))-1,0)</f>
        <v>0.0225813333333336</v>
      </c>
      <c r="F810" s="21" t="n">
        <f aca="false">IF(B810=B809,MAX(F809,C810),C810)</f>
        <v>7799.95</v>
      </c>
      <c r="G810" s="20" t="n">
        <f aca="false">(C810-F810)/F810</f>
        <v>-0.0167424150154809</v>
      </c>
      <c r="H810" s="21" t="str">
        <f aca="true">IF(COUNTIFS($B$2:B810,B810)&gt;=20,AVERAGE(OFFSET(C810,-19,0,20,1)),"")</f>
        <v/>
      </c>
      <c r="I810" s="21" t="str">
        <f aca="true">IF(COUNTIFS($B$2:B810,B810)&gt;=50,AVERAGE(OFFSET(C810,-49,0,50,1)),"")</f>
        <v/>
      </c>
    </row>
    <row r="811" customFormat="false" ht="15" hidden="false" customHeight="false" outlineLevel="0" collapsed="false">
      <c r="A811" s="17" t="n">
        <f aca="false">Cours_Bruts!A811</f>
        <v>45730</v>
      </c>
      <c r="B811" s="18" t="str">
        <f aca="false">Cours_Bruts!B811</f>
        <v>CAC40</v>
      </c>
      <c r="C811" s="19" t="n">
        <f aca="false">Cours_Bruts!C811</f>
        <v>7599</v>
      </c>
      <c r="D811" s="20" t="n">
        <f aca="false">IF(B811=B810,(C811-C810)/C810,"")</f>
        <v>-0.00917416837910851</v>
      </c>
      <c r="E811" s="20" t="n">
        <f aca="false">IF(B811=B810,(1+E810)*(1+IF(D811="",0,D811))-1,0)</f>
        <v>0.0132000000000003</v>
      </c>
      <c r="F811" s="21" t="n">
        <f aca="false">IF(B811=B810,MAX(F810,C811),C811)</f>
        <v>7799.95</v>
      </c>
      <c r="G811" s="20" t="n">
        <f aca="false">(C811-F811)/F811</f>
        <v>-0.0257629856601645</v>
      </c>
      <c r="H811" s="21" t="str">
        <f aca="true">IF(COUNTIFS($B$2:B811,B811)&gt;=20,AVERAGE(OFFSET(C811,-19,0,20,1)),"")</f>
        <v/>
      </c>
      <c r="I811" s="21" t="str">
        <f aca="true">IF(COUNTIFS($B$2:B811,B811)&gt;=50,AVERAGE(OFFSET(C811,-49,0,50,1)),"")</f>
        <v/>
      </c>
    </row>
    <row r="812" customFormat="false" ht="15" hidden="false" customHeight="false" outlineLevel="0" collapsed="false">
      <c r="A812" s="17" t="n">
        <f aca="false">Cours_Bruts!A812</f>
        <v>45733</v>
      </c>
      <c r="B812" s="18" t="str">
        <f aca="false">Cours_Bruts!B812</f>
        <v>CAC40</v>
      </c>
      <c r="C812" s="19" t="n">
        <f aca="false">Cours_Bruts!C812</f>
        <v>7681</v>
      </c>
      <c r="D812" s="20" t="n">
        <f aca="false">IF(B812=B811,(C812-C811)/C811,"")</f>
        <v>0.0107908935386235</v>
      </c>
      <c r="E812" s="20" t="n">
        <f aca="false">IF(B812=B811,(1+E811)*(1+IF(D812="",0,D812))-1,0)</f>
        <v>0.0241333333333338</v>
      </c>
      <c r="F812" s="21" t="n">
        <f aca="false">IF(B812=B811,MAX(F811,C812),C812)</f>
        <v>7799.95</v>
      </c>
      <c r="G812" s="20" t="n">
        <f aca="false">(C812-F812)/F812</f>
        <v>-0.0152500977570369</v>
      </c>
      <c r="H812" s="21" t="str">
        <f aca="true">IF(COUNTIFS($B$2:B812,B812)&gt;=20,AVERAGE(OFFSET(C812,-19,0,20,1)),"")</f>
        <v/>
      </c>
      <c r="I812" s="21" t="str">
        <f aca="true">IF(COUNTIFS($B$2:B812,B812)&gt;=50,AVERAGE(OFFSET(C812,-49,0,50,1)),"")</f>
        <v/>
      </c>
    </row>
    <row r="813" customFormat="false" ht="15" hidden="false" customHeight="false" outlineLevel="0" collapsed="false">
      <c r="A813" s="17" t="n">
        <f aca="false">Cours_Bruts!A813</f>
        <v>45734</v>
      </c>
      <c r="B813" s="18" t="str">
        <f aca="false">Cours_Bruts!B813</f>
        <v>CAC40</v>
      </c>
      <c r="C813" s="19" t="n">
        <f aca="false">Cours_Bruts!C813</f>
        <v>7726.95</v>
      </c>
      <c r="D813" s="20" t="n">
        <f aca="false">IF(B813=B812,(C813-C812)/C812,"")</f>
        <v>0.00598229397213902</v>
      </c>
      <c r="E813" s="20" t="n">
        <f aca="false">IF(B813=B812,(1+E812)*(1+IF(D813="",0,D813))-1,0)</f>
        <v>0.0302600000000004</v>
      </c>
      <c r="F813" s="21" t="n">
        <f aca="false">IF(B813=B812,MAX(F812,C813),C813)</f>
        <v>7799.95</v>
      </c>
      <c r="G813" s="20" t="n">
        <f aca="false">(C813-F813)/F813</f>
        <v>-0.00935903435278431</v>
      </c>
      <c r="H813" s="21" t="str">
        <f aca="true">IF(COUNTIFS($B$2:B813,B813)&gt;=20,AVERAGE(OFFSET(C813,-19,0,20,1)),"")</f>
        <v/>
      </c>
      <c r="I813" s="21" t="str">
        <f aca="true">IF(COUNTIFS($B$2:B813,B813)&gt;=50,AVERAGE(OFFSET(C813,-49,0,50,1)),"")</f>
        <v/>
      </c>
    </row>
    <row r="814" customFormat="false" ht="15" hidden="false" customHeight="false" outlineLevel="0" collapsed="false">
      <c r="A814" s="17" t="n">
        <f aca="false">Cours_Bruts!A814</f>
        <v>45735</v>
      </c>
      <c r="B814" s="18" t="str">
        <f aca="false">Cours_Bruts!B814</f>
        <v>CAC40</v>
      </c>
      <c r="C814" s="19" t="n">
        <f aca="false">Cours_Bruts!C814</f>
        <v>7784.98</v>
      </c>
      <c r="D814" s="20" t="n">
        <f aca="false">IF(B814=B813,(C814-C813)/C813,"")</f>
        <v>0.00751007836209627</v>
      </c>
      <c r="E814" s="20" t="n">
        <f aca="false">IF(B814=B813,(1+E813)*(1+IF(D814="",0,D814))-1,0)</f>
        <v>0.0379973333333337</v>
      </c>
      <c r="F814" s="21" t="n">
        <f aca="false">IF(B814=B813,MAX(F813,C814),C814)</f>
        <v>7799.95</v>
      </c>
      <c r="G814" s="20" t="n">
        <f aca="false">(C814-F814)/F814</f>
        <v>-0.00191924307207101</v>
      </c>
      <c r="H814" s="21" t="str">
        <f aca="true">IF(COUNTIFS($B$2:B814,B814)&gt;=20,AVERAGE(OFFSET(C814,-19,0,20,1)),"")</f>
        <v/>
      </c>
      <c r="I814" s="21" t="str">
        <f aca="true">IF(COUNTIFS($B$2:B814,B814)&gt;=50,AVERAGE(OFFSET(C814,-49,0,50,1)),"")</f>
        <v/>
      </c>
    </row>
    <row r="815" customFormat="false" ht="15" hidden="false" customHeight="false" outlineLevel="0" collapsed="false">
      <c r="A815" s="17" t="n">
        <f aca="false">Cours_Bruts!A815</f>
        <v>45736</v>
      </c>
      <c r="B815" s="18" t="str">
        <f aca="false">Cours_Bruts!B815</f>
        <v>CAC40</v>
      </c>
      <c r="C815" s="19" t="n">
        <f aca="false">Cours_Bruts!C815</f>
        <v>7836.69</v>
      </c>
      <c r="D815" s="20" t="n">
        <f aca="false">IF(B815=B814,(C815-C814)/C814,"")</f>
        <v>0.00664227782216525</v>
      </c>
      <c r="E815" s="20" t="n">
        <f aca="false">IF(B815=B814,(1+E814)*(1+IF(D815="",0,D815))-1,0)</f>
        <v>0.0448920000000004</v>
      </c>
      <c r="F815" s="21" t="n">
        <f aca="false">IF(B815=B814,MAX(F814,C815),C815)</f>
        <v>7836.69</v>
      </c>
      <c r="G815" s="20" t="n">
        <f aca="false">(C815-F815)/F815</f>
        <v>0</v>
      </c>
      <c r="H815" s="21" t="str">
        <f aca="true">IF(COUNTIFS($B$2:B815,B815)&gt;=20,AVERAGE(OFFSET(C815,-19,0,20,1)),"")</f>
        <v/>
      </c>
      <c r="I815" s="21" t="str">
        <f aca="true">IF(COUNTIFS($B$2:B815,B815)&gt;=50,AVERAGE(OFFSET(C815,-49,0,50,1)),"")</f>
        <v/>
      </c>
    </row>
    <row r="816" customFormat="false" ht="15" hidden="false" customHeight="false" outlineLevel="0" collapsed="false">
      <c r="A816" s="17" t="n">
        <f aca="false">Cours_Bruts!A816</f>
        <v>45737</v>
      </c>
      <c r="B816" s="18" t="str">
        <f aca="false">Cours_Bruts!B816</f>
        <v>CAC40</v>
      </c>
      <c r="C816" s="19" t="n">
        <f aca="false">Cours_Bruts!C816</f>
        <v>7940.43</v>
      </c>
      <c r="D816" s="20" t="n">
        <f aca="false">IF(B816=B815,(C816-C815)/C815,"")</f>
        <v>0.013237731746439</v>
      </c>
      <c r="E816" s="20" t="n">
        <f aca="false">IF(B816=B815,(1+E815)*(1+IF(D816="",0,D816))-1,0)</f>
        <v>0.0587240000000004</v>
      </c>
      <c r="F816" s="21" t="n">
        <f aca="false">IF(B816=B815,MAX(F815,C816),C816)</f>
        <v>7940.43</v>
      </c>
      <c r="G816" s="20" t="n">
        <f aca="false">(C816-F816)/F816</f>
        <v>0</v>
      </c>
      <c r="H816" s="21" t="str">
        <f aca="true">IF(COUNTIFS($B$2:B816,B816)&gt;=20,AVERAGE(OFFSET(C816,-19,0,20,1)),"")</f>
        <v/>
      </c>
      <c r="I816" s="21" t="str">
        <f aca="true">IF(COUNTIFS($B$2:B816,B816)&gt;=50,AVERAGE(OFFSET(C816,-49,0,50,1)),"")</f>
        <v/>
      </c>
    </row>
    <row r="817" customFormat="false" ht="15" hidden="false" customHeight="false" outlineLevel="0" collapsed="false">
      <c r="A817" s="17" t="n">
        <f aca="false">Cours_Bruts!A817</f>
        <v>45740</v>
      </c>
      <c r="B817" s="18" t="str">
        <f aca="false">Cours_Bruts!B817</f>
        <v>CAC40</v>
      </c>
      <c r="C817" s="19" t="n">
        <f aca="false">Cours_Bruts!C817</f>
        <v>7921.4</v>
      </c>
      <c r="D817" s="20" t="n">
        <f aca="false">IF(B817=B816,(C817-C816)/C816,"")</f>
        <v>-0.00239659565036159</v>
      </c>
      <c r="E817" s="20" t="n">
        <f aca="false">IF(B817=B816,(1+E816)*(1+IF(D817="",0,D817))-1,0)</f>
        <v>0.0561866666666671</v>
      </c>
      <c r="F817" s="21" t="n">
        <f aca="false">IF(B817=B816,MAX(F816,C817),C817)</f>
        <v>7940.43</v>
      </c>
      <c r="G817" s="20" t="n">
        <f aca="false">(C817-F817)/F817</f>
        <v>-0.00239659565036159</v>
      </c>
      <c r="H817" s="21" t="str">
        <f aca="true">IF(COUNTIFS($B$2:B817,B817)&gt;=20,AVERAGE(OFFSET(C817,-19,0,20,1)),"")</f>
        <v/>
      </c>
      <c r="I817" s="21" t="str">
        <f aca="true">IF(COUNTIFS($B$2:B817,B817)&gt;=50,AVERAGE(OFFSET(C817,-49,0,50,1)),"")</f>
        <v/>
      </c>
    </row>
    <row r="818" customFormat="false" ht="15" hidden="false" customHeight="false" outlineLevel="0" collapsed="false">
      <c r="A818" s="17" t="n">
        <f aca="false">Cours_Bruts!A818</f>
        <v>45741</v>
      </c>
      <c r="B818" s="18" t="str">
        <f aca="false">Cours_Bruts!B818</f>
        <v>CAC40</v>
      </c>
      <c r="C818" s="19" t="n">
        <f aca="false">Cours_Bruts!C818</f>
        <v>7932.9</v>
      </c>
      <c r="D818" s="20" t="n">
        <f aca="false">IF(B818=B817,(C818-C817)/C817,"")</f>
        <v>0.00145176357714545</v>
      </c>
      <c r="E818" s="20" t="n">
        <f aca="false">IF(B818=B817,(1+E817)*(1+IF(D818="",0,D818))-1,0)</f>
        <v>0.0577200000000002</v>
      </c>
      <c r="F818" s="21" t="n">
        <f aca="false">IF(B818=B817,MAX(F817,C818),C818)</f>
        <v>7940.43</v>
      </c>
      <c r="G818" s="20" t="n">
        <f aca="false">(C818-F818)/F818</f>
        <v>-0.000948311363490473</v>
      </c>
      <c r="H818" s="21" t="str">
        <f aca="true">IF(COUNTIFS($B$2:B818,B818)&gt;=20,AVERAGE(OFFSET(C818,-19,0,20,1)),"")</f>
        <v/>
      </c>
      <c r="I818" s="21" t="str">
        <f aca="true">IF(COUNTIFS($B$2:B818,B818)&gt;=50,AVERAGE(OFFSET(C818,-49,0,50,1)),"")</f>
        <v/>
      </c>
    </row>
    <row r="819" customFormat="false" ht="15" hidden="false" customHeight="false" outlineLevel="0" collapsed="false">
      <c r="A819" s="17" t="n">
        <f aca="false">Cours_Bruts!A819</f>
        <v>45742</v>
      </c>
      <c r="B819" s="18" t="str">
        <f aca="false">Cours_Bruts!B819</f>
        <v>CAC40</v>
      </c>
      <c r="C819" s="19" t="n">
        <f aca="false">Cours_Bruts!C819</f>
        <v>7852.54</v>
      </c>
      <c r="D819" s="20" t="n">
        <f aca="false">IF(B819=B818,(C819-C818)/C818,"")</f>
        <v>-0.0101299650821263</v>
      </c>
      <c r="E819" s="20" t="n">
        <f aca="false">IF(B819=B818,(1+E818)*(1+IF(D819="",0,D819))-1,0)</f>
        <v>0.0470053333333336</v>
      </c>
      <c r="F819" s="21" t="n">
        <f aca="false">IF(B819=B818,MAX(F818,C819),C819)</f>
        <v>7940.43</v>
      </c>
      <c r="G819" s="20" t="n">
        <f aca="false">(C819-F819)/F819</f>
        <v>-0.0110686700846176</v>
      </c>
      <c r="H819" s="21" t="str">
        <f aca="true">IF(COUNTIFS($B$2:B819,B819)&gt;=20,AVERAGE(OFFSET(C819,-19,0,20,1)),"")</f>
        <v/>
      </c>
      <c r="I819" s="21" t="str">
        <f aca="true">IF(COUNTIFS($B$2:B819,B819)&gt;=50,AVERAGE(OFFSET(C819,-49,0,50,1)),"")</f>
        <v/>
      </c>
    </row>
    <row r="820" customFormat="false" ht="15" hidden="false" customHeight="false" outlineLevel="0" collapsed="false">
      <c r="A820" s="17" t="n">
        <f aca="false">Cours_Bruts!A820</f>
        <v>45743</v>
      </c>
      <c r="B820" s="18" t="str">
        <f aca="false">Cours_Bruts!B820</f>
        <v>CAC40</v>
      </c>
      <c r="C820" s="19" t="n">
        <f aca="false">Cours_Bruts!C820</f>
        <v>7753.26</v>
      </c>
      <c r="D820" s="20" t="n">
        <f aca="false">IF(B820=B819,(C820-C819)/C819,"")</f>
        <v>-0.0126430428880336</v>
      </c>
      <c r="E820" s="20" t="n">
        <f aca="false">IF(B820=B819,(1+E819)*(1+IF(D820="",0,D820))-1,0)</f>
        <v>0.0337680000000002</v>
      </c>
      <c r="F820" s="21" t="n">
        <f aca="false">IF(B820=B819,MAX(F819,C820),C820)</f>
        <v>7940.43</v>
      </c>
      <c r="G820" s="20" t="n">
        <f aca="false">(C820-F820)/F820</f>
        <v>-0.023571771302058</v>
      </c>
      <c r="H820" s="21" t="str">
        <f aca="true">IF(COUNTIFS($B$2:B820,B820)&gt;=20,AVERAGE(OFFSET(C820,-19,0,20,1)),"")</f>
        <v/>
      </c>
      <c r="I820" s="21" t="str">
        <f aca="true">IF(COUNTIFS($B$2:B820,B820)&gt;=50,AVERAGE(OFFSET(C820,-49,0,50,1)),"")</f>
        <v/>
      </c>
    </row>
    <row r="821" customFormat="false" ht="15" hidden="false" customHeight="false" outlineLevel="0" collapsed="false">
      <c r="A821" s="17" t="n">
        <f aca="false">Cours_Bruts!A821</f>
        <v>45744</v>
      </c>
      <c r="B821" s="18" t="str">
        <f aca="false">Cours_Bruts!B821</f>
        <v>CAC40</v>
      </c>
      <c r="C821" s="19" t="n">
        <f aca="false">Cours_Bruts!C821</f>
        <v>7626.66</v>
      </c>
      <c r="D821" s="20" t="n">
        <f aca="false">IF(B821=B820,(C821-C820)/C820,"")</f>
        <v>-0.0163286153179437</v>
      </c>
      <c r="E821" s="20" t="n">
        <f aca="false">IF(B821=B820,(1+E820)*(1+IF(D821="",0,D821))-1,0)</f>
        <v>0.0168880000000002</v>
      </c>
      <c r="F821" s="21" t="n">
        <f aca="false">IF(B821=B820,MAX(F820,C821),C821)</f>
        <v>7940.43</v>
      </c>
      <c r="G821" s="20" t="n">
        <f aca="false">(C821-F821)/F821</f>
        <v>-0.0395154922340478</v>
      </c>
      <c r="H821" s="21" t="n">
        <f aca="true">IF(COUNTIFS($B$2:B821,B821)&gt;=20,AVERAGE(OFFSET(C821,-19,0,20,1)),"")</f>
        <v>7722.176</v>
      </c>
      <c r="I821" s="21" t="str">
        <f aca="true">IF(COUNTIFS($B$2:B821,B821)&gt;=50,AVERAGE(OFFSET(C821,-49,0,50,1)),"")</f>
        <v/>
      </c>
    </row>
    <row r="822" customFormat="false" ht="15" hidden="false" customHeight="false" outlineLevel="0" collapsed="false">
      <c r="A822" s="17" t="n">
        <f aca="false">Cours_Bruts!A822</f>
        <v>45747</v>
      </c>
      <c r="B822" s="18" t="str">
        <f aca="false">Cours_Bruts!B822</f>
        <v>CAC40</v>
      </c>
      <c r="C822" s="19" t="n">
        <f aca="false">Cours_Bruts!C822</f>
        <v>7560.43</v>
      </c>
      <c r="D822" s="20" t="n">
        <f aca="false">IF(B822=B821,(C822-C821)/C821,"")</f>
        <v>-0.00868401108742222</v>
      </c>
      <c r="E822" s="20" t="n">
        <f aca="false">IF(B822=B821,(1+E821)*(1+IF(D822="",0,D822))-1,0)</f>
        <v>0.00805733333333358</v>
      </c>
      <c r="F822" s="21" t="n">
        <f aca="false">IF(B822=B821,MAX(F821,C822),C822)</f>
        <v>7940.43</v>
      </c>
      <c r="G822" s="20" t="n">
        <f aca="false">(C822-F822)/F822</f>
        <v>-0.0478563503487846</v>
      </c>
      <c r="H822" s="21" t="n">
        <f aca="true">IF(COUNTIFS($B$2:B822,B822)&gt;=20,AVERAGE(OFFSET(C822,-19,0,20,1)),"")</f>
        <v>7725.1975</v>
      </c>
      <c r="I822" s="21" t="str">
        <f aca="true">IF(COUNTIFS($B$2:B822,B822)&gt;=50,AVERAGE(OFFSET(C822,-49,0,50,1)),"")</f>
        <v/>
      </c>
    </row>
    <row r="823" customFormat="false" ht="15" hidden="false" customHeight="false" outlineLevel="0" collapsed="false">
      <c r="A823" s="17" t="n">
        <f aca="false">Cours_Bruts!A823</f>
        <v>45748</v>
      </c>
      <c r="B823" s="18" t="str">
        <f aca="false">Cours_Bruts!B823</f>
        <v>CAC40</v>
      </c>
      <c r="C823" s="19" t="n">
        <f aca="false">Cours_Bruts!C823</f>
        <v>7680.54</v>
      </c>
      <c r="D823" s="20" t="n">
        <f aca="false">IF(B823=B822,(C823-C822)/C822,"")</f>
        <v>0.0158866625310994</v>
      </c>
      <c r="E823" s="20" t="n">
        <f aca="false">IF(B823=B822,(1+E822)*(1+IF(D823="",0,D823))-1,0)</f>
        <v>0.0240720000000003</v>
      </c>
      <c r="F823" s="21" t="n">
        <f aca="false">IF(B823=B822,MAX(F822,C823),C823)</f>
        <v>7940.43</v>
      </c>
      <c r="G823" s="20" t="n">
        <f aca="false">(C823-F823)/F823</f>
        <v>-0.0327299655056465</v>
      </c>
      <c r="H823" s="21" t="n">
        <f aca="true">IF(COUNTIFS($B$2:B823,B823)&gt;=20,AVERAGE(OFFSET(C823,-19,0,20,1)),"")</f>
        <v>7733.014</v>
      </c>
      <c r="I823" s="21" t="str">
        <f aca="true">IF(COUNTIFS($B$2:B823,B823)&gt;=50,AVERAGE(OFFSET(C823,-49,0,50,1)),"")</f>
        <v/>
      </c>
    </row>
    <row r="824" customFormat="false" ht="15" hidden="false" customHeight="false" outlineLevel="0" collapsed="false">
      <c r="A824" s="17" t="n">
        <f aca="false">Cours_Bruts!A824</f>
        <v>45749</v>
      </c>
      <c r="B824" s="18" t="str">
        <f aca="false">Cours_Bruts!B824</f>
        <v>CAC40</v>
      </c>
      <c r="C824" s="19" t="n">
        <f aca="false">Cours_Bruts!C824</f>
        <v>7562.17</v>
      </c>
      <c r="D824" s="20" t="n">
        <f aca="false">IF(B824=B823,(C824-C823)/C823,"")</f>
        <v>-0.0154116767831428</v>
      </c>
      <c r="E824" s="20" t="n">
        <f aca="false">IF(B824=B823,(1+E823)*(1+IF(D824="",0,D824))-1,0)</f>
        <v>0.00828933333333359</v>
      </c>
      <c r="F824" s="21" t="n">
        <f aca="false">IF(B824=B823,MAX(F823,C824),C824)</f>
        <v>7940.43</v>
      </c>
      <c r="G824" s="20" t="n">
        <f aca="false">(C824-F824)/F824</f>
        <v>-0.0476372186392929</v>
      </c>
      <c r="H824" s="21" t="n">
        <f aca="true">IF(COUNTIFS($B$2:B824,B824)&gt;=20,AVERAGE(OFFSET(C824,-19,0,20,1)),"")</f>
        <v>7731.011</v>
      </c>
      <c r="I824" s="21" t="str">
        <f aca="true">IF(COUNTIFS($B$2:B824,B824)&gt;=50,AVERAGE(OFFSET(C824,-49,0,50,1)),"")</f>
        <v/>
      </c>
    </row>
    <row r="825" customFormat="false" ht="15" hidden="false" customHeight="false" outlineLevel="0" collapsed="false">
      <c r="A825" s="17" t="n">
        <f aca="false">Cours_Bruts!A825</f>
        <v>45750</v>
      </c>
      <c r="B825" s="18" t="str">
        <f aca="false">Cours_Bruts!B825</f>
        <v>CAC40</v>
      </c>
      <c r="C825" s="19" t="n">
        <f aca="false">Cours_Bruts!C825</f>
        <v>7540.83</v>
      </c>
      <c r="D825" s="20" t="n">
        <f aca="false">IF(B825=B824,(C825-C824)/C824,"")</f>
        <v>-0.00282194132107585</v>
      </c>
      <c r="E825" s="20" t="n">
        <f aca="false">IF(B825=B824,(1+E824)*(1+IF(D825="",0,D825))-1,0)</f>
        <v>0.00544400000000023</v>
      </c>
      <c r="F825" s="21" t="n">
        <f aca="false">IF(B825=B824,MAX(F824,C825),C825)</f>
        <v>7940.43</v>
      </c>
      <c r="G825" s="20" t="n">
        <f aca="false">(C825-F825)/F825</f>
        <v>-0.0503247305246694</v>
      </c>
      <c r="H825" s="21" t="n">
        <f aca="true">IF(COUNTIFS($B$2:B825,B825)&gt;=20,AVERAGE(OFFSET(C825,-19,0,20,1)),"")</f>
        <v>7728.8175</v>
      </c>
      <c r="I825" s="21" t="str">
        <f aca="true">IF(COUNTIFS($B$2:B825,B825)&gt;=50,AVERAGE(OFFSET(C825,-49,0,50,1)),"")</f>
        <v/>
      </c>
    </row>
    <row r="826" customFormat="false" ht="15" hidden="false" customHeight="false" outlineLevel="0" collapsed="false">
      <c r="A826" s="17" t="n">
        <f aca="false">Cours_Bruts!A826</f>
        <v>45751</v>
      </c>
      <c r="B826" s="18" t="str">
        <f aca="false">Cours_Bruts!B826</f>
        <v>CAC40</v>
      </c>
      <c r="C826" s="19" t="n">
        <f aca="false">Cours_Bruts!C826</f>
        <v>7444.34</v>
      </c>
      <c r="D826" s="20" t="n">
        <f aca="false">IF(B826=B825,(C826-C825)/C825,"")</f>
        <v>-0.0127956736857879</v>
      </c>
      <c r="E826" s="20" t="n">
        <f aca="false">IF(B826=B825,(1+E825)*(1+IF(D826="",0,D826))-1,0)</f>
        <v>-0.00742133333333306</v>
      </c>
      <c r="F826" s="21" t="n">
        <f aca="false">IF(B826=B825,MAX(F825,C826),C826)</f>
        <v>7940.43</v>
      </c>
      <c r="G826" s="20" t="n">
        <f aca="false">(C826-F826)/F826</f>
        <v>-0.0624764653803384</v>
      </c>
      <c r="H826" s="21" t="n">
        <f aca="true">IF(COUNTIFS($B$2:B826,B826)&gt;=20,AVERAGE(OFFSET(C826,-19,0,20,1)),"")</f>
        <v>7720.4075</v>
      </c>
      <c r="I826" s="21" t="str">
        <f aca="true">IF(COUNTIFS($B$2:B826,B826)&gt;=50,AVERAGE(OFFSET(C826,-49,0,50,1)),"")</f>
        <v/>
      </c>
    </row>
    <row r="827" customFormat="false" ht="15" hidden="false" customHeight="false" outlineLevel="0" collapsed="false">
      <c r="A827" s="17" t="n">
        <f aca="false">Cours_Bruts!A827</f>
        <v>45754</v>
      </c>
      <c r="B827" s="18" t="str">
        <f aca="false">Cours_Bruts!B827</f>
        <v>CAC40</v>
      </c>
      <c r="C827" s="19" t="n">
        <f aca="false">Cours_Bruts!C827</f>
        <v>7401.03</v>
      </c>
      <c r="D827" s="20" t="n">
        <f aca="false">IF(B827=B826,(C827-C826)/C826,"")</f>
        <v>-0.0058178428174963</v>
      </c>
      <c r="E827" s="20" t="n">
        <f aca="false">IF(B827=B826,(1+E826)*(1+IF(D827="",0,D827))-1,0)</f>
        <v>-0.0131959999999998</v>
      </c>
      <c r="F827" s="21" t="n">
        <f aca="false">IF(B827=B826,MAX(F826,C827),C827)</f>
        <v>7940.43</v>
      </c>
      <c r="G827" s="20" t="n">
        <f aca="false">(C827-F827)/F827</f>
        <v>-0.0679308299424591</v>
      </c>
      <c r="H827" s="21" t="n">
        <f aca="true">IF(COUNTIFS($B$2:B827,B827)&gt;=20,AVERAGE(OFFSET(C827,-19,0,20,1)),"")</f>
        <v>7704.2355</v>
      </c>
      <c r="I827" s="21" t="str">
        <f aca="true">IF(COUNTIFS($B$2:B827,B827)&gt;=50,AVERAGE(OFFSET(C827,-49,0,50,1)),"")</f>
        <v/>
      </c>
    </row>
    <row r="828" customFormat="false" ht="15" hidden="false" customHeight="false" outlineLevel="0" collapsed="false">
      <c r="A828" s="17" t="n">
        <f aca="false">Cours_Bruts!A828</f>
        <v>45755</v>
      </c>
      <c r="B828" s="18" t="str">
        <f aca="false">Cours_Bruts!B828</f>
        <v>CAC40</v>
      </c>
      <c r="C828" s="19" t="n">
        <f aca="false">Cours_Bruts!C828</f>
        <v>7415.45</v>
      </c>
      <c r="D828" s="20" t="n">
        <f aca="false">IF(B828=B827,(C828-C827)/C827,"")</f>
        <v>0.00194837745557038</v>
      </c>
      <c r="E828" s="20" t="n">
        <f aca="false">IF(B828=B827,(1+E827)*(1+IF(D828="",0,D828))-1,0)</f>
        <v>-0.011273333333333</v>
      </c>
      <c r="F828" s="21" t="n">
        <f aca="false">IF(B828=B827,MAX(F827,C828),C828)</f>
        <v>7940.43</v>
      </c>
      <c r="G828" s="20" t="n">
        <f aca="false">(C828-F828)/F828</f>
        <v>-0.0661148073844868</v>
      </c>
      <c r="H828" s="21" t="n">
        <f aca="true">IF(COUNTIFS($B$2:B828,B828)&gt;=20,AVERAGE(OFFSET(C828,-19,0,20,1)),"")</f>
        <v>7686.4955</v>
      </c>
      <c r="I828" s="21" t="str">
        <f aca="true">IF(COUNTIFS($B$2:B828,B828)&gt;=50,AVERAGE(OFFSET(C828,-49,0,50,1)),"")</f>
        <v/>
      </c>
    </row>
    <row r="829" customFormat="false" ht="15" hidden="false" customHeight="false" outlineLevel="0" collapsed="false">
      <c r="A829" s="17" t="n">
        <f aca="false">Cours_Bruts!A829</f>
        <v>45756</v>
      </c>
      <c r="B829" s="18" t="str">
        <f aca="false">Cours_Bruts!B829</f>
        <v>CAC40</v>
      </c>
      <c r="C829" s="19" t="n">
        <f aca="false">Cours_Bruts!C829</f>
        <v>7364.88</v>
      </c>
      <c r="D829" s="20" t="n">
        <f aca="false">IF(B829=B828,(C829-C828)/C828,"")</f>
        <v>-0.00681954567827977</v>
      </c>
      <c r="E829" s="20" t="n">
        <f aca="false">IF(B829=B828,(1+E828)*(1+IF(D829="",0,D829))-1,0)</f>
        <v>-0.0180159999999997</v>
      </c>
      <c r="F829" s="21" t="n">
        <f aca="false">IF(B829=B828,MAX(F828,C829),C829)</f>
        <v>7940.43</v>
      </c>
      <c r="G829" s="20" t="n">
        <f aca="false">(C829-F829)/F829</f>
        <v>-0.0724834801137974</v>
      </c>
      <c r="H829" s="21" t="n">
        <f aca="true">IF(COUNTIFS($B$2:B829,B829)&gt;=20,AVERAGE(OFFSET(C829,-19,0,20,1)),"")</f>
        <v>7664.742</v>
      </c>
      <c r="I829" s="21" t="str">
        <f aca="true">IF(COUNTIFS($B$2:B829,B829)&gt;=50,AVERAGE(OFFSET(C829,-49,0,50,1)),"")</f>
        <v/>
      </c>
    </row>
    <row r="830" customFormat="false" ht="15" hidden="false" customHeight="false" outlineLevel="0" collapsed="false">
      <c r="A830" s="17" t="n">
        <f aca="false">Cours_Bruts!A830</f>
        <v>45757</v>
      </c>
      <c r="B830" s="18" t="str">
        <f aca="false">Cours_Bruts!B830</f>
        <v>CAC40</v>
      </c>
      <c r="C830" s="19" t="n">
        <f aca="false">Cours_Bruts!C830</f>
        <v>7447.52</v>
      </c>
      <c r="D830" s="20" t="n">
        <f aca="false">IF(B830=B829,(C830-C829)/C829,"")</f>
        <v>0.0112208209773955</v>
      </c>
      <c r="E830" s="20" t="n">
        <f aca="false">IF(B830=B829,(1+E829)*(1+IF(D830="",0,D830))-1,0)</f>
        <v>-0.00699733333333308</v>
      </c>
      <c r="F830" s="21" t="n">
        <f aca="false">IF(B830=B829,MAX(F829,C830),C830)</f>
        <v>7940.43</v>
      </c>
      <c r="G830" s="20" t="n">
        <f aca="false">(C830-F830)/F830</f>
        <v>-0.0620759832905774</v>
      </c>
      <c r="H830" s="21" t="n">
        <f aca="true">IF(COUNTIFS($B$2:B830,B830)&gt;=20,AVERAGE(OFFSET(C830,-19,0,20,1)),"")</f>
        <v>7653.65</v>
      </c>
      <c r="I830" s="21" t="str">
        <f aca="true">IF(COUNTIFS($B$2:B830,B830)&gt;=50,AVERAGE(OFFSET(C830,-49,0,50,1)),"")</f>
        <v/>
      </c>
    </row>
    <row r="831" customFormat="false" ht="15" hidden="false" customHeight="false" outlineLevel="0" collapsed="false">
      <c r="A831" s="17" t="n">
        <f aca="false">Cours_Bruts!A831</f>
        <v>45758</v>
      </c>
      <c r="B831" s="18" t="str">
        <f aca="false">Cours_Bruts!B831</f>
        <v>CAC40</v>
      </c>
      <c r="C831" s="19" t="n">
        <f aca="false">Cours_Bruts!C831</f>
        <v>7564.44</v>
      </c>
      <c r="D831" s="20" t="n">
        <f aca="false">IF(B831=B830,(C831-C830)/C830,"")</f>
        <v>0.0156991857692224</v>
      </c>
      <c r="E831" s="20" t="n">
        <f aca="false">IF(B831=B830,(1+E830)*(1+IF(D831="",0,D831))-1,0)</f>
        <v>0.00859200000000016</v>
      </c>
      <c r="F831" s="21" t="n">
        <f aca="false">IF(B831=B830,MAX(F830,C831),C831)</f>
        <v>7940.43</v>
      </c>
      <c r="G831" s="20" t="n">
        <f aca="false">(C831-F831)/F831</f>
        <v>-0.047351339914841</v>
      </c>
      <c r="H831" s="21" t="n">
        <f aca="true">IF(COUNTIFS($B$2:B831,B831)&gt;=20,AVERAGE(OFFSET(C831,-19,0,20,1)),"")</f>
        <v>7651.922</v>
      </c>
      <c r="I831" s="21" t="str">
        <f aca="true">IF(COUNTIFS($B$2:B831,B831)&gt;=50,AVERAGE(OFFSET(C831,-49,0,50,1)),"")</f>
        <v/>
      </c>
    </row>
    <row r="832" customFormat="false" ht="15" hidden="false" customHeight="false" outlineLevel="0" collapsed="false">
      <c r="A832" s="17" t="n">
        <f aca="false">Cours_Bruts!A832</f>
        <v>45761</v>
      </c>
      <c r="B832" s="18" t="str">
        <f aca="false">Cours_Bruts!B832</f>
        <v>CAC40</v>
      </c>
      <c r="C832" s="19" t="n">
        <f aca="false">Cours_Bruts!C832</f>
        <v>7394.77</v>
      </c>
      <c r="D832" s="20" t="n">
        <f aca="false">IF(B832=B831,(C832-C831)/C831,"")</f>
        <v>-0.0224299485487358</v>
      </c>
      <c r="E832" s="20" t="n">
        <f aca="false">IF(B832=B831,(1+E831)*(1+IF(D832="",0,D832))-1,0)</f>
        <v>-0.0140306666666664</v>
      </c>
      <c r="F832" s="21" t="n">
        <f aca="false">IF(B832=B831,MAX(F831,C832),C832)</f>
        <v>7940.43</v>
      </c>
      <c r="G832" s="20" t="n">
        <f aca="false">(C832-F832)/F832</f>
        <v>-0.0687192003455732</v>
      </c>
      <c r="H832" s="21" t="n">
        <f aca="true">IF(COUNTIFS($B$2:B832,B832)&gt;=20,AVERAGE(OFFSET(C832,-19,0,20,1)),"")</f>
        <v>7637.6105</v>
      </c>
      <c r="I832" s="21" t="str">
        <f aca="true">IF(COUNTIFS($B$2:B832,B832)&gt;=50,AVERAGE(OFFSET(C832,-49,0,50,1)),"")</f>
        <v/>
      </c>
    </row>
    <row r="833" customFormat="false" ht="15" hidden="false" customHeight="false" outlineLevel="0" collapsed="false">
      <c r="A833" s="17" t="n">
        <f aca="false">Cours_Bruts!A833</f>
        <v>45762</v>
      </c>
      <c r="B833" s="18" t="str">
        <f aca="false">Cours_Bruts!B833</f>
        <v>CAC40</v>
      </c>
      <c r="C833" s="19" t="n">
        <f aca="false">Cours_Bruts!C833</f>
        <v>7345.62</v>
      </c>
      <c r="D833" s="20" t="n">
        <f aca="false">IF(B833=B832,(C833-C832)/C832,"")</f>
        <v>-0.00664658941386961</v>
      </c>
      <c r="E833" s="20" t="n">
        <f aca="false">IF(B833=B832,(1+E832)*(1+IF(D833="",0,D833))-1,0)</f>
        <v>-0.0205839999999998</v>
      </c>
      <c r="F833" s="21" t="n">
        <f aca="false">IF(B833=B832,MAX(F832,C833),C833)</f>
        <v>7940.43</v>
      </c>
      <c r="G833" s="20" t="n">
        <f aca="false">(C833-F833)/F833</f>
        <v>-0.0749090414498963</v>
      </c>
      <c r="H833" s="21" t="n">
        <f aca="true">IF(COUNTIFS($B$2:B833,B833)&gt;=20,AVERAGE(OFFSET(C833,-19,0,20,1)),"")</f>
        <v>7618.544</v>
      </c>
      <c r="I833" s="21" t="str">
        <f aca="true">IF(COUNTIFS($B$2:B833,B833)&gt;=50,AVERAGE(OFFSET(C833,-49,0,50,1)),"")</f>
        <v/>
      </c>
    </row>
    <row r="834" customFormat="false" ht="15" hidden="false" customHeight="false" outlineLevel="0" collapsed="false">
      <c r="A834" s="17" t="n">
        <f aca="false">Cours_Bruts!A834</f>
        <v>45763</v>
      </c>
      <c r="B834" s="18" t="str">
        <f aca="false">Cours_Bruts!B834</f>
        <v>CAC40</v>
      </c>
      <c r="C834" s="19" t="n">
        <f aca="false">Cours_Bruts!C834</f>
        <v>7351.75</v>
      </c>
      <c r="D834" s="20" t="n">
        <f aca="false">IF(B834=B833,(C834-C833)/C833,"")</f>
        <v>0.000834510905818721</v>
      </c>
      <c r="E834" s="20" t="n">
        <f aca="false">IF(B834=B833,(1+E833)*(1+IF(D834="",0,D834))-1,0)</f>
        <v>-0.0197666666666665</v>
      </c>
      <c r="F834" s="21" t="n">
        <f aca="false">IF(B834=B833,MAX(F833,C834),C834)</f>
        <v>7940.43</v>
      </c>
      <c r="G834" s="20" t="n">
        <f aca="false">(C834-F834)/F834</f>
        <v>-0.074137042956112</v>
      </c>
      <c r="H834" s="21" t="n">
        <f aca="true">IF(COUNTIFS($B$2:B834,B834)&gt;=20,AVERAGE(OFFSET(C834,-19,0,20,1)),"")</f>
        <v>7596.8825</v>
      </c>
      <c r="I834" s="21" t="str">
        <f aca="true">IF(COUNTIFS($B$2:B834,B834)&gt;=50,AVERAGE(OFFSET(C834,-49,0,50,1)),"")</f>
        <v/>
      </c>
    </row>
    <row r="835" customFormat="false" ht="15" hidden="false" customHeight="false" outlineLevel="0" collapsed="false">
      <c r="A835" s="17" t="n">
        <f aca="false">Cours_Bruts!A835</f>
        <v>45764</v>
      </c>
      <c r="B835" s="18" t="str">
        <f aca="false">Cours_Bruts!B835</f>
        <v>CAC40</v>
      </c>
      <c r="C835" s="19" t="n">
        <f aca="false">Cours_Bruts!C835</f>
        <v>7436.95</v>
      </c>
      <c r="D835" s="20" t="n">
        <f aca="false">IF(B835=B834,(C835-C834)/C834,"")</f>
        <v>0.0115890774305437</v>
      </c>
      <c r="E835" s="20" t="n">
        <f aca="false">IF(B835=B834,(1+E834)*(1+IF(D835="",0,D835))-1,0)</f>
        <v>-0.00840666666666645</v>
      </c>
      <c r="F835" s="21" t="n">
        <f aca="false">IF(B835=B834,MAX(F834,C835),C835)</f>
        <v>7940.43</v>
      </c>
      <c r="G835" s="20" t="n">
        <f aca="false">(C835-F835)/F835</f>
        <v>-0.0634071454568582</v>
      </c>
      <c r="H835" s="21" t="n">
        <f aca="true">IF(COUNTIFS($B$2:B835,B835)&gt;=20,AVERAGE(OFFSET(C835,-19,0,20,1)),"")</f>
        <v>7576.8955</v>
      </c>
      <c r="I835" s="21" t="str">
        <f aca="true">IF(COUNTIFS($B$2:B835,B835)&gt;=50,AVERAGE(OFFSET(C835,-49,0,50,1)),"")</f>
        <v/>
      </c>
    </row>
    <row r="836" customFormat="false" ht="15" hidden="false" customHeight="false" outlineLevel="0" collapsed="false">
      <c r="A836" s="17" t="n">
        <f aca="false">Cours_Bruts!A836</f>
        <v>45765</v>
      </c>
      <c r="B836" s="18" t="str">
        <f aca="false">Cours_Bruts!B836</f>
        <v>CAC40</v>
      </c>
      <c r="C836" s="19" t="n">
        <f aca="false">Cours_Bruts!C836</f>
        <v>7404.67</v>
      </c>
      <c r="D836" s="20" t="n">
        <f aca="false">IF(B836=B835,(C836-C835)/C835,"")</f>
        <v>-0.00434048904456797</v>
      </c>
      <c r="E836" s="20" t="n">
        <f aca="false">IF(B836=B835,(1+E835)*(1+IF(D836="",0,D836))-1,0)</f>
        <v>-0.0127106666666664</v>
      </c>
      <c r="F836" s="21" t="n">
        <f aca="false">IF(B836=B835,MAX(F835,C836),C836)</f>
        <v>7940.43</v>
      </c>
      <c r="G836" s="20" t="n">
        <f aca="false">(C836-F836)/F836</f>
        <v>-0.0674724164812233</v>
      </c>
      <c r="H836" s="21" t="n">
        <f aca="true">IF(COUNTIFS($B$2:B836,B836)&gt;=20,AVERAGE(OFFSET(C836,-19,0,20,1)),"")</f>
        <v>7550.1075</v>
      </c>
      <c r="I836" s="21" t="str">
        <f aca="true">IF(COUNTIFS($B$2:B836,B836)&gt;=50,AVERAGE(OFFSET(C836,-49,0,50,1)),"")</f>
        <v/>
      </c>
    </row>
    <row r="837" customFormat="false" ht="15" hidden="false" customHeight="false" outlineLevel="0" collapsed="false">
      <c r="A837" s="17" t="n">
        <f aca="false">Cours_Bruts!A837</f>
        <v>45768</v>
      </c>
      <c r="B837" s="18" t="str">
        <f aca="false">Cours_Bruts!B837</f>
        <v>CAC40</v>
      </c>
      <c r="C837" s="19" t="n">
        <f aca="false">Cours_Bruts!C837</f>
        <v>7404.94</v>
      </c>
      <c r="D837" s="20" t="n">
        <f aca="false">IF(B837=B836,(C837-C836)/C836,"")</f>
        <v>3.64634750771509E-005</v>
      </c>
      <c r="E837" s="20" t="n">
        <f aca="false">IF(B837=B836,(1+E836)*(1+IF(D837="",0,D837))-1,0)</f>
        <v>-0.0126746666666665</v>
      </c>
      <c r="F837" s="21" t="n">
        <f aca="false">IF(B837=B836,MAX(F836,C837),C837)</f>
        <v>7940.43</v>
      </c>
      <c r="G837" s="20" t="n">
        <f aca="false">(C837-F837)/F837</f>
        <v>-0.0674384132849229</v>
      </c>
      <c r="H837" s="21" t="n">
        <f aca="true">IF(COUNTIFS($B$2:B837,B837)&gt;=20,AVERAGE(OFFSET(C837,-19,0,20,1)),"")</f>
        <v>7524.2845</v>
      </c>
      <c r="I837" s="21" t="str">
        <f aca="true">IF(COUNTIFS($B$2:B837,B837)&gt;=50,AVERAGE(OFFSET(C837,-49,0,50,1)),"")</f>
        <v/>
      </c>
    </row>
    <row r="838" customFormat="false" ht="15" hidden="false" customHeight="false" outlineLevel="0" collapsed="false">
      <c r="A838" s="17" t="n">
        <f aca="false">Cours_Bruts!A838</f>
        <v>45769</v>
      </c>
      <c r="B838" s="18" t="str">
        <f aca="false">Cours_Bruts!B838</f>
        <v>CAC40</v>
      </c>
      <c r="C838" s="19" t="n">
        <f aca="false">Cours_Bruts!C838</f>
        <v>7320.37</v>
      </c>
      <c r="D838" s="20" t="n">
        <f aca="false">IF(B838=B837,(C838-C837)/C837,"")</f>
        <v>-0.0114207542532417</v>
      </c>
      <c r="E838" s="20" t="n">
        <f aca="false">IF(B838=B837,(1+E837)*(1+IF(D838="",0,D838))-1,0)</f>
        <v>-0.0239506666666665</v>
      </c>
      <c r="F838" s="21" t="n">
        <f aca="false">IF(B838=B837,MAX(F837,C838),C838)</f>
        <v>7940.43</v>
      </c>
      <c r="G838" s="20" t="n">
        <f aca="false">(C838-F838)/F838</f>
        <v>-0.078088969992809</v>
      </c>
      <c r="H838" s="21" t="n">
        <f aca="true">IF(COUNTIFS($B$2:B838,B838)&gt;=20,AVERAGE(OFFSET(C838,-19,0,20,1)),"")</f>
        <v>7493.658</v>
      </c>
      <c r="I838" s="21" t="str">
        <f aca="true">IF(COUNTIFS($B$2:B838,B838)&gt;=50,AVERAGE(OFFSET(C838,-49,0,50,1)),"")</f>
        <v/>
      </c>
    </row>
    <row r="839" customFormat="false" ht="15" hidden="false" customHeight="false" outlineLevel="0" collapsed="false">
      <c r="A839" s="17" t="n">
        <f aca="false">Cours_Bruts!A839</f>
        <v>45770</v>
      </c>
      <c r="B839" s="18" t="str">
        <f aca="false">Cours_Bruts!B839</f>
        <v>CAC40</v>
      </c>
      <c r="C839" s="19" t="n">
        <f aca="false">Cours_Bruts!C839</f>
        <v>7209.02</v>
      </c>
      <c r="D839" s="20" t="n">
        <f aca="false">IF(B839=B838,(C839-C838)/C838,"")</f>
        <v>-0.0152109797728803</v>
      </c>
      <c r="E839" s="20" t="n">
        <f aca="false">IF(B839=B838,(1+E838)*(1+IF(D839="",0,D839))-1,0)</f>
        <v>-0.038797333333333</v>
      </c>
      <c r="F839" s="21" t="n">
        <f aca="false">IF(B839=B838,MAX(F838,C839),C839)</f>
        <v>7940.43</v>
      </c>
      <c r="G839" s="20" t="n">
        <f aca="false">(C839-F839)/F839</f>
        <v>-0.0921121400226436</v>
      </c>
      <c r="H839" s="21" t="n">
        <f aca="true">IF(COUNTIFS($B$2:B839,B839)&gt;=20,AVERAGE(OFFSET(C839,-19,0,20,1)),"")</f>
        <v>7461.482</v>
      </c>
      <c r="I839" s="21" t="str">
        <f aca="true">IF(COUNTIFS($B$2:B839,B839)&gt;=50,AVERAGE(OFFSET(C839,-49,0,50,1)),"")</f>
        <v/>
      </c>
    </row>
    <row r="840" customFormat="false" ht="15" hidden="false" customHeight="false" outlineLevel="0" collapsed="false">
      <c r="A840" s="17" t="n">
        <f aca="false">Cours_Bruts!A840</f>
        <v>45771</v>
      </c>
      <c r="B840" s="18" t="str">
        <f aca="false">Cours_Bruts!B840</f>
        <v>CAC40</v>
      </c>
      <c r="C840" s="19" t="n">
        <f aca="false">Cours_Bruts!C840</f>
        <v>7315.76</v>
      </c>
      <c r="D840" s="20" t="n">
        <f aca="false">IF(B840=B839,(C840-C839)/C839,"")</f>
        <v>0.0148064508074606</v>
      </c>
      <c r="E840" s="20" t="n">
        <f aca="false">IF(B840=B839,(1+E839)*(1+IF(D840="",0,D840))-1,0)</f>
        <v>-0.0245653333333331</v>
      </c>
      <c r="F840" s="21" t="n">
        <f aca="false">IF(B840=B839,MAX(F839,C840),C840)</f>
        <v>7940.43</v>
      </c>
      <c r="G840" s="20" t="n">
        <f aca="false">(C840-F840)/F840</f>
        <v>-0.0786695430851982</v>
      </c>
      <c r="H840" s="21" t="n">
        <f aca="true">IF(COUNTIFS($B$2:B840,B840)&gt;=20,AVERAGE(OFFSET(C840,-19,0,20,1)),"")</f>
        <v>7439.607</v>
      </c>
      <c r="I840" s="21" t="str">
        <f aca="true">IF(COUNTIFS($B$2:B840,B840)&gt;=50,AVERAGE(OFFSET(C840,-49,0,50,1)),"")</f>
        <v/>
      </c>
    </row>
    <row r="841" customFormat="false" ht="15" hidden="false" customHeight="false" outlineLevel="0" collapsed="false">
      <c r="A841" s="17" t="n">
        <f aca="false">Cours_Bruts!A841</f>
        <v>45772</v>
      </c>
      <c r="B841" s="18" t="str">
        <f aca="false">Cours_Bruts!B841</f>
        <v>CAC40</v>
      </c>
      <c r="C841" s="19" t="n">
        <f aca="false">Cours_Bruts!C841</f>
        <v>7183</v>
      </c>
      <c r="D841" s="20" t="n">
        <f aca="false">IF(B841=B840,(C841-C840)/C840,"")</f>
        <v>-0.0181471234704255</v>
      </c>
      <c r="E841" s="20" t="n">
        <f aca="false">IF(B841=B840,(1+E840)*(1+IF(D841="",0,D841))-1,0)</f>
        <v>-0.0422666666666666</v>
      </c>
      <c r="F841" s="21" t="n">
        <f aca="false">IF(B841=B840,MAX(F840,C841),C841)</f>
        <v>7940.43</v>
      </c>
      <c r="G841" s="20" t="n">
        <f aca="false">(C841-F841)/F841</f>
        <v>-0.0953890406438946</v>
      </c>
      <c r="H841" s="21" t="n">
        <f aca="true">IF(COUNTIFS($B$2:B841,B841)&gt;=20,AVERAGE(OFFSET(C841,-19,0,20,1)),"")</f>
        <v>7417.424</v>
      </c>
      <c r="I841" s="21" t="str">
        <f aca="true">IF(COUNTIFS($B$2:B841,B841)&gt;=50,AVERAGE(OFFSET(C841,-49,0,50,1)),"")</f>
        <v/>
      </c>
    </row>
    <row r="842" customFormat="false" ht="15" hidden="false" customHeight="false" outlineLevel="0" collapsed="false">
      <c r="A842" s="17" t="n">
        <f aca="false">Cours_Bruts!A842</f>
        <v>45775</v>
      </c>
      <c r="B842" s="18" t="str">
        <f aca="false">Cours_Bruts!B842</f>
        <v>CAC40</v>
      </c>
      <c r="C842" s="19" t="n">
        <f aca="false">Cours_Bruts!C842</f>
        <v>7353.3</v>
      </c>
      <c r="D842" s="20" t="n">
        <f aca="false">IF(B842=B841,(C842-C841)/C841,"")</f>
        <v>0.0237087567868579</v>
      </c>
      <c r="E842" s="20" t="n">
        <f aca="false">IF(B842=B841,(1+E841)*(1+IF(D842="",0,D842))-1,0)</f>
        <v>-0.0195599999999998</v>
      </c>
      <c r="F842" s="21" t="n">
        <f aca="false">IF(B842=B841,MAX(F841,C842),C842)</f>
        <v>7940.43</v>
      </c>
      <c r="G842" s="20" t="n">
        <f aca="false">(C842-F842)/F842</f>
        <v>-0.0739418394217946</v>
      </c>
      <c r="H842" s="21" t="n">
        <f aca="true">IF(COUNTIFS($B$2:B842,B842)&gt;=20,AVERAGE(OFFSET(C842,-19,0,20,1)),"")</f>
        <v>7407.0675</v>
      </c>
      <c r="I842" s="21" t="str">
        <f aca="true">IF(COUNTIFS($B$2:B842,B842)&gt;=50,AVERAGE(OFFSET(C842,-49,0,50,1)),"")</f>
        <v/>
      </c>
    </row>
    <row r="843" customFormat="false" ht="15" hidden="false" customHeight="false" outlineLevel="0" collapsed="false">
      <c r="A843" s="17" t="n">
        <f aca="false">Cours_Bruts!A843</f>
        <v>45776</v>
      </c>
      <c r="B843" s="18" t="str">
        <f aca="false">Cours_Bruts!B843</f>
        <v>CAC40</v>
      </c>
      <c r="C843" s="19" t="n">
        <f aca="false">Cours_Bruts!C843</f>
        <v>7408.8</v>
      </c>
      <c r="D843" s="20" t="n">
        <f aca="false">IF(B843=B842,(C843-C842)/C842,"")</f>
        <v>0.00754763167557423</v>
      </c>
      <c r="E843" s="20" t="n">
        <f aca="false">IF(B843=B842,(1+E842)*(1+IF(D843="",0,D843))-1,0)</f>
        <v>-0.0121599999999997</v>
      </c>
      <c r="F843" s="21" t="n">
        <f aca="false">IF(B843=B842,MAX(F842,C843),C843)</f>
        <v>7940.43</v>
      </c>
      <c r="G843" s="20" t="n">
        <f aca="false">(C843-F843)/F843</f>
        <v>-0.0669522935155905</v>
      </c>
      <c r="H843" s="21" t="n">
        <f aca="true">IF(COUNTIFS($B$2:B843,B843)&gt;=20,AVERAGE(OFFSET(C843,-19,0,20,1)),"")</f>
        <v>7393.4805</v>
      </c>
      <c r="I843" s="21" t="str">
        <f aca="true">IF(COUNTIFS($B$2:B843,B843)&gt;=50,AVERAGE(OFFSET(C843,-49,0,50,1)),"")</f>
        <v/>
      </c>
    </row>
    <row r="844" customFormat="false" ht="15" hidden="false" customHeight="false" outlineLevel="0" collapsed="false">
      <c r="A844" s="17" t="n">
        <f aca="false">Cours_Bruts!A844</f>
        <v>45777</v>
      </c>
      <c r="B844" s="18" t="str">
        <f aca="false">Cours_Bruts!B844</f>
        <v>CAC40</v>
      </c>
      <c r="C844" s="19" t="n">
        <f aca="false">Cours_Bruts!C844</f>
        <v>7461.34</v>
      </c>
      <c r="D844" s="20" t="n">
        <f aca="false">IF(B844=B843,(C844-C843)/C843,"")</f>
        <v>0.00709156678544433</v>
      </c>
      <c r="E844" s="20" t="n">
        <f aca="false">IF(B844=B843,(1+E843)*(1+IF(D844="",0,D844))-1,0)</f>
        <v>-0.00515466666666642</v>
      </c>
      <c r="F844" s="21" t="n">
        <f aca="false">IF(B844=B843,MAX(F843,C844),C844)</f>
        <v>7940.43</v>
      </c>
      <c r="G844" s="20" t="n">
        <f aca="false">(C844-F844)/F844</f>
        <v>-0.0603355233910506</v>
      </c>
      <c r="H844" s="21" t="n">
        <f aca="true">IF(COUNTIFS($B$2:B844,B844)&gt;=20,AVERAGE(OFFSET(C844,-19,0,20,1)),"")</f>
        <v>7388.439</v>
      </c>
      <c r="I844" s="21" t="str">
        <f aca="true">IF(COUNTIFS($B$2:B844,B844)&gt;=50,AVERAGE(OFFSET(C844,-49,0,50,1)),"")</f>
        <v/>
      </c>
    </row>
    <row r="845" customFormat="false" ht="15" hidden="false" customHeight="false" outlineLevel="0" collapsed="false">
      <c r="A845" s="17" t="n">
        <f aca="false">Cours_Bruts!A845</f>
        <v>45778</v>
      </c>
      <c r="B845" s="18" t="str">
        <f aca="false">Cours_Bruts!B845</f>
        <v>CAC40</v>
      </c>
      <c r="C845" s="19" t="n">
        <f aca="false">Cours_Bruts!C845</f>
        <v>7506.39</v>
      </c>
      <c r="D845" s="20" t="n">
        <f aca="false">IF(B845=B844,(C845-C844)/C844,"")</f>
        <v>0.00603778945872996</v>
      </c>
      <c r="E845" s="20" t="n">
        <f aca="false">IF(B845=B844,(1+E844)*(1+IF(D845="",0,D845))-1,0)</f>
        <v>0.000852000000000297</v>
      </c>
      <c r="F845" s="21" t="n">
        <f aca="false">IF(B845=B844,MAX(F844,C845),C845)</f>
        <v>7940.43</v>
      </c>
      <c r="G845" s="20" t="n">
        <f aca="false">(C845-F845)/F845</f>
        <v>-0.0546620271194381</v>
      </c>
      <c r="H845" s="21" t="n">
        <f aca="true">IF(COUNTIFS($B$2:B845,B845)&gt;=20,AVERAGE(OFFSET(C845,-19,0,20,1)),"")</f>
        <v>7386.717</v>
      </c>
      <c r="I845" s="21" t="str">
        <f aca="true">IF(COUNTIFS($B$2:B845,B845)&gt;=50,AVERAGE(OFFSET(C845,-49,0,50,1)),"")</f>
        <v/>
      </c>
    </row>
    <row r="846" customFormat="false" ht="15" hidden="false" customHeight="false" outlineLevel="0" collapsed="false">
      <c r="A846" s="17" t="n">
        <f aca="false">Cours_Bruts!A846</f>
        <v>45779</v>
      </c>
      <c r="B846" s="18" t="str">
        <f aca="false">Cours_Bruts!B846</f>
        <v>CAC40</v>
      </c>
      <c r="C846" s="19" t="n">
        <f aca="false">Cours_Bruts!C846</f>
        <v>7489.06</v>
      </c>
      <c r="D846" s="20" t="n">
        <f aca="false">IF(B846=B845,(C846-C845)/C845,"")</f>
        <v>-0.00230869965456097</v>
      </c>
      <c r="E846" s="20" t="n">
        <f aca="false">IF(B846=B845,(1+E845)*(1+IF(D846="",0,D846))-1,0)</f>
        <v>-0.00145866666666628</v>
      </c>
      <c r="F846" s="21" t="n">
        <f aca="false">IF(B846=B845,MAX(F845,C846),C846)</f>
        <v>7940.43</v>
      </c>
      <c r="G846" s="20" t="n">
        <f aca="false">(C846-F846)/F846</f>
        <v>-0.0568445285708708</v>
      </c>
      <c r="H846" s="21" t="n">
        <f aca="true">IF(COUNTIFS($B$2:B846,B846)&gt;=20,AVERAGE(OFFSET(C846,-19,0,20,1)),"")</f>
        <v>7388.953</v>
      </c>
      <c r="I846" s="21" t="str">
        <f aca="true">IF(COUNTIFS($B$2:B846,B846)&gt;=50,AVERAGE(OFFSET(C846,-49,0,50,1)),"")</f>
        <v/>
      </c>
    </row>
    <row r="847" customFormat="false" ht="15" hidden="false" customHeight="false" outlineLevel="0" collapsed="false">
      <c r="A847" s="17" t="n">
        <f aca="false">Cours_Bruts!A847</f>
        <v>45782</v>
      </c>
      <c r="B847" s="18" t="str">
        <f aca="false">Cours_Bruts!B847</f>
        <v>CAC40</v>
      </c>
      <c r="C847" s="19" t="n">
        <f aca="false">Cours_Bruts!C847</f>
        <v>7520.44</v>
      </c>
      <c r="D847" s="20" t="n">
        <f aca="false">IF(B847=B846,(C847-C846)/C846,"")</f>
        <v>0.00419011197666986</v>
      </c>
      <c r="E847" s="20" t="n">
        <f aca="false">IF(B847=B846,(1+E846)*(1+IF(D847="",0,D847))-1,0)</f>
        <v>0.00272533333333369</v>
      </c>
      <c r="F847" s="21" t="n">
        <f aca="false">IF(B847=B846,MAX(F846,C847),C847)</f>
        <v>7940.43</v>
      </c>
      <c r="G847" s="20" t="n">
        <f aca="false">(C847-F847)/F847</f>
        <v>-0.0528926015341739</v>
      </c>
      <c r="H847" s="21" t="n">
        <f aca="true">IF(COUNTIFS($B$2:B847,B847)&gt;=20,AVERAGE(OFFSET(C847,-19,0,20,1)),"")</f>
        <v>7394.9235</v>
      </c>
      <c r="I847" s="21" t="str">
        <f aca="true">IF(COUNTIFS($B$2:B847,B847)&gt;=50,AVERAGE(OFFSET(C847,-49,0,50,1)),"")</f>
        <v/>
      </c>
    </row>
    <row r="848" customFormat="false" ht="15" hidden="false" customHeight="false" outlineLevel="0" collapsed="false">
      <c r="A848" s="17" t="n">
        <f aca="false">Cours_Bruts!A848</f>
        <v>45783</v>
      </c>
      <c r="B848" s="18" t="str">
        <f aca="false">Cours_Bruts!B848</f>
        <v>CAC40</v>
      </c>
      <c r="C848" s="19" t="n">
        <f aca="false">Cours_Bruts!C848</f>
        <v>7507.91</v>
      </c>
      <c r="D848" s="20" t="n">
        <f aca="false">IF(B848=B847,(C848-C847)/C847,"")</f>
        <v>-0.00166612591816433</v>
      </c>
      <c r="E848" s="20" t="n">
        <f aca="false">IF(B848=B847,(1+E847)*(1+IF(D848="",0,D848))-1,0)</f>
        <v>0.00105466666666709</v>
      </c>
      <c r="F848" s="21" t="n">
        <f aca="false">IF(B848=B847,MAX(F847,C848),C848)</f>
        <v>7940.43</v>
      </c>
      <c r="G848" s="20" t="n">
        <f aca="false">(C848-F848)/F848</f>
        <v>-0.054470601718043</v>
      </c>
      <c r="H848" s="21" t="n">
        <f aca="true">IF(COUNTIFS($B$2:B848,B848)&gt;=20,AVERAGE(OFFSET(C848,-19,0,20,1)),"")</f>
        <v>7399.5465</v>
      </c>
      <c r="I848" s="21" t="str">
        <f aca="true">IF(COUNTIFS($B$2:B848,B848)&gt;=50,AVERAGE(OFFSET(C848,-49,0,50,1)),"")</f>
        <v/>
      </c>
    </row>
    <row r="849" customFormat="false" ht="15" hidden="false" customHeight="false" outlineLevel="0" collapsed="false">
      <c r="A849" s="17" t="n">
        <f aca="false">Cours_Bruts!A849</f>
        <v>45784</v>
      </c>
      <c r="B849" s="18" t="str">
        <f aca="false">Cours_Bruts!B849</f>
        <v>CAC40</v>
      </c>
      <c r="C849" s="19" t="n">
        <f aca="false">Cours_Bruts!C849</f>
        <v>7551.55</v>
      </c>
      <c r="D849" s="20" t="n">
        <f aca="false">IF(B849=B848,(C849-C848)/C848,"")</f>
        <v>0.00581253637829973</v>
      </c>
      <c r="E849" s="20" t="n">
        <f aca="false">IF(B849=B848,(1+E848)*(1+IF(D849="",0,D849))-1,0)</f>
        <v>0.00687333333333373</v>
      </c>
      <c r="F849" s="21" t="n">
        <f aca="false">IF(B849=B848,MAX(F848,C849),C849)</f>
        <v>7940.43</v>
      </c>
      <c r="G849" s="20" t="n">
        <f aca="false">(C849-F849)/F849</f>
        <v>-0.0489746776937773</v>
      </c>
      <c r="H849" s="21" t="n">
        <f aca="true">IF(COUNTIFS($B$2:B849,B849)&gt;=20,AVERAGE(OFFSET(C849,-19,0,20,1)),"")</f>
        <v>7408.88</v>
      </c>
      <c r="I849" s="21" t="str">
        <f aca="true">IF(COUNTIFS($B$2:B849,B849)&gt;=50,AVERAGE(OFFSET(C849,-49,0,50,1)),"")</f>
        <v/>
      </c>
    </row>
    <row r="850" customFormat="false" ht="15" hidden="false" customHeight="false" outlineLevel="0" collapsed="false">
      <c r="A850" s="17" t="n">
        <f aca="false">Cours_Bruts!A850</f>
        <v>45785</v>
      </c>
      <c r="B850" s="18" t="str">
        <f aca="false">Cours_Bruts!B850</f>
        <v>CAC40</v>
      </c>
      <c r="C850" s="19" t="n">
        <f aca="false">Cours_Bruts!C850</f>
        <v>7550.78</v>
      </c>
      <c r="D850" s="20" t="n">
        <f aca="false">IF(B850=B849,(C850-C849)/C849,"")</f>
        <v>-0.000101965821586355</v>
      </c>
      <c r="E850" s="20" t="n">
        <f aca="false">IF(B850=B849,(1+E849)*(1+IF(D850="",0,D850))-1,0)</f>
        <v>0.00677066666666693</v>
      </c>
      <c r="F850" s="21" t="n">
        <f aca="false">IF(B850=B849,MAX(F849,C850),C850)</f>
        <v>7940.43</v>
      </c>
      <c r="G850" s="20" t="n">
        <f aca="false">(C850-F850)/F850</f>
        <v>-0.0490716497721157</v>
      </c>
      <c r="H850" s="21" t="n">
        <f aca="true">IF(COUNTIFS($B$2:B850,B850)&gt;=20,AVERAGE(OFFSET(C850,-19,0,20,1)),"")</f>
        <v>7414.043</v>
      </c>
      <c r="I850" s="21" t="str">
        <f aca="true">IF(COUNTIFS($B$2:B850,B850)&gt;=50,AVERAGE(OFFSET(C850,-49,0,50,1)),"")</f>
        <v/>
      </c>
    </row>
    <row r="851" customFormat="false" ht="15" hidden="false" customHeight="false" outlineLevel="0" collapsed="false">
      <c r="A851" s="17" t="n">
        <f aca="false">Cours_Bruts!A851</f>
        <v>45786</v>
      </c>
      <c r="B851" s="18" t="str">
        <f aca="false">Cours_Bruts!B851</f>
        <v>CAC40</v>
      </c>
      <c r="C851" s="19" t="n">
        <f aca="false">Cours_Bruts!C851</f>
        <v>7480.26</v>
      </c>
      <c r="D851" s="20" t="n">
        <f aca="false">IF(B851=B850,(C851-C850)/C850,"")</f>
        <v>-0.00933943248247195</v>
      </c>
      <c r="E851" s="20" t="n">
        <f aca="false">IF(B851=B850,(1+E850)*(1+IF(D851="",0,D851))-1,0)</f>
        <v>-0.00263199999999963</v>
      </c>
      <c r="F851" s="21" t="n">
        <f aca="false">IF(B851=B850,MAX(F850,C851),C851)</f>
        <v>7940.43</v>
      </c>
      <c r="G851" s="20" t="n">
        <f aca="false">(C851-F851)/F851</f>
        <v>-0.0579527808947374</v>
      </c>
      <c r="H851" s="21" t="n">
        <f aca="true">IF(COUNTIFS($B$2:B851,B851)&gt;=20,AVERAGE(OFFSET(C851,-19,0,20,1)),"")</f>
        <v>7409.834</v>
      </c>
      <c r="I851" s="21" t="n">
        <f aca="true">IF(COUNTIFS($B$2:B851,B851)&gt;=50,AVERAGE(OFFSET(C851,-49,0,50,1)),"")</f>
        <v>7552.4366</v>
      </c>
    </row>
    <row r="852" customFormat="false" ht="15" hidden="false" customHeight="false" outlineLevel="0" collapsed="false">
      <c r="A852" s="17" t="n">
        <f aca="false">Cours_Bruts!A852</f>
        <v>45789</v>
      </c>
      <c r="B852" s="18" t="str">
        <f aca="false">Cours_Bruts!B852</f>
        <v>CAC40</v>
      </c>
      <c r="C852" s="19" t="n">
        <f aca="false">Cours_Bruts!C852</f>
        <v>7416.4</v>
      </c>
      <c r="D852" s="20" t="n">
        <f aca="false">IF(B852=B851,(C852-C851)/C851,"")</f>
        <v>-0.00853713640969707</v>
      </c>
      <c r="E852" s="20" t="n">
        <f aca="false">IF(B852=B851,(1+E851)*(1+IF(D852="",0,D852))-1,0)</f>
        <v>-0.0111466666666664</v>
      </c>
      <c r="F852" s="21" t="n">
        <f aca="false">IF(B852=B851,MAX(F851,C852),C852)</f>
        <v>7940.43</v>
      </c>
      <c r="G852" s="20" t="n">
        <f aca="false">(C852-F852)/F852</f>
        <v>-0.0659951665086149</v>
      </c>
      <c r="H852" s="21" t="n">
        <f aca="true">IF(COUNTIFS($B$2:B852,B852)&gt;=20,AVERAGE(OFFSET(C852,-19,0,20,1)),"")</f>
        <v>7410.9155</v>
      </c>
      <c r="I852" s="21" t="n">
        <f aca="true">IF(COUNTIFS($B$2:B852,B852)&gt;=50,AVERAGE(OFFSET(C852,-49,0,50,1)),"")</f>
        <v>7550.7646</v>
      </c>
    </row>
    <row r="853" customFormat="false" ht="15" hidden="false" customHeight="false" outlineLevel="0" collapsed="false">
      <c r="A853" s="17" t="n">
        <f aca="false">Cours_Bruts!A853</f>
        <v>45790</v>
      </c>
      <c r="B853" s="18" t="str">
        <f aca="false">Cours_Bruts!B853</f>
        <v>CAC40</v>
      </c>
      <c r="C853" s="19" t="n">
        <f aca="false">Cours_Bruts!C853</f>
        <v>7344.59</v>
      </c>
      <c r="D853" s="20" t="n">
        <f aca="false">IF(B853=B852,(C853-C852)/C852,"")</f>
        <v>-0.0096825953292702</v>
      </c>
      <c r="E853" s="20" t="n">
        <f aca="false">IF(B853=B852,(1+E852)*(1+IF(D853="",0,D853))-1,0)</f>
        <v>-0.020721333333333</v>
      </c>
      <c r="F853" s="21" t="n">
        <f aca="false">IF(B853=B852,MAX(F852,C853),C853)</f>
        <v>7940.43</v>
      </c>
      <c r="G853" s="20" t="n">
        <f aca="false">(C853-F853)/F853</f>
        <v>-0.0750387573468943</v>
      </c>
      <c r="H853" s="21" t="n">
        <f aca="true">IF(COUNTIFS($B$2:B853,B853)&gt;=20,AVERAGE(OFFSET(C853,-19,0,20,1)),"")</f>
        <v>7410.864</v>
      </c>
      <c r="I853" s="21" t="n">
        <f aca="true">IF(COUNTIFS($B$2:B853,B853)&gt;=50,AVERAGE(OFFSET(C853,-49,0,50,1)),"")</f>
        <v>7547.1722</v>
      </c>
    </row>
    <row r="854" customFormat="false" ht="15" hidden="false" customHeight="false" outlineLevel="0" collapsed="false">
      <c r="A854" s="17" t="n">
        <f aca="false">Cours_Bruts!A854</f>
        <v>45791</v>
      </c>
      <c r="B854" s="18" t="str">
        <f aca="false">Cours_Bruts!B854</f>
        <v>CAC40</v>
      </c>
      <c r="C854" s="19" t="n">
        <f aca="false">Cours_Bruts!C854</f>
        <v>7418.21</v>
      </c>
      <c r="D854" s="20" t="n">
        <f aca="false">IF(B854=B853,(C854-C853)/C853,"")</f>
        <v>0.0100237045226486</v>
      </c>
      <c r="E854" s="20" t="n">
        <f aca="false">IF(B854=B853,(1+E853)*(1+IF(D854="",0,D854))-1,0)</f>
        <v>-0.0109053333333331</v>
      </c>
      <c r="F854" s="21" t="n">
        <f aca="false">IF(B854=B853,MAX(F853,C854),C854)</f>
        <v>7940.43</v>
      </c>
      <c r="G854" s="20" t="n">
        <f aca="false">(C854-F854)/F854</f>
        <v>-0.0657672191556377</v>
      </c>
      <c r="H854" s="21" t="n">
        <f aca="true">IF(COUNTIFS($B$2:B854,B854)&gt;=20,AVERAGE(OFFSET(C854,-19,0,20,1)),"")</f>
        <v>7414.187</v>
      </c>
      <c r="I854" s="21" t="n">
        <f aca="true">IF(COUNTIFS($B$2:B854,B854)&gt;=50,AVERAGE(OFFSET(C854,-49,0,50,1)),"")</f>
        <v>7543.4918</v>
      </c>
    </row>
    <row r="855" customFormat="false" ht="15" hidden="false" customHeight="false" outlineLevel="0" collapsed="false">
      <c r="A855" s="17" t="n">
        <f aca="false">Cours_Bruts!A855</f>
        <v>45792</v>
      </c>
      <c r="B855" s="18" t="str">
        <f aca="false">Cours_Bruts!B855</f>
        <v>CAC40</v>
      </c>
      <c r="C855" s="19" t="n">
        <f aca="false">Cours_Bruts!C855</f>
        <v>7373.81</v>
      </c>
      <c r="D855" s="20" t="n">
        <f aca="false">IF(B855=B854,(C855-C854)/C854,"")</f>
        <v>-0.00598527137948368</v>
      </c>
      <c r="E855" s="20" t="n">
        <f aca="false">IF(B855=B854,(1+E854)*(1+IF(D855="",0,D855))-1,0)</f>
        <v>-0.016825333333333</v>
      </c>
      <c r="F855" s="21" t="n">
        <f aca="false">IF(B855=B854,MAX(F854,C855),C855)</f>
        <v>7940.43</v>
      </c>
      <c r="G855" s="20" t="n">
        <f aca="false">(C855-F855)/F855</f>
        <v>-0.0713588558806009</v>
      </c>
      <c r="H855" s="21" t="n">
        <f aca="true">IF(COUNTIFS($B$2:B855,B855)&gt;=20,AVERAGE(OFFSET(C855,-19,0,20,1)),"")</f>
        <v>7411.03</v>
      </c>
      <c r="I855" s="21" t="n">
        <f aca="true">IF(COUNTIFS($B$2:B855,B855)&gt;=50,AVERAGE(OFFSET(C855,-49,0,50,1)),"")</f>
        <v>7539.274</v>
      </c>
    </row>
    <row r="856" customFormat="false" ht="15" hidden="false" customHeight="false" outlineLevel="0" collapsed="false">
      <c r="A856" s="17" t="n">
        <f aca="false">Cours_Bruts!A856</f>
        <v>45793</v>
      </c>
      <c r="B856" s="18" t="str">
        <f aca="false">Cours_Bruts!B856</f>
        <v>CAC40</v>
      </c>
      <c r="C856" s="19" t="n">
        <f aca="false">Cours_Bruts!C856</f>
        <v>7233.46</v>
      </c>
      <c r="D856" s="20" t="n">
        <f aca="false">IF(B856=B855,(C856-C855)/C855,"")</f>
        <v>-0.0190335796555648</v>
      </c>
      <c r="E856" s="20" t="n">
        <f aca="false">IF(B856=B855,(1+E855)*(1+IF(D856="",0,D856))-1,0)</f>
        <v>-0.0355386666666665</v>
      </c>
      <c r="F856" s="21" t="n">
        <f aca="false">IF(B856=B855,MAX(F855,C856),C856)</f>
        <v>7940.43</v>
      </c>
      <c r="G856" s="20" t="n">
        <f aca="false">(C856-F856)/F856</f>
        <v>-0.0890342210686323</v>
      </c>
      <c r="H856" s="21" t="n">
        <f aca="true">IF(COUNTIFS($B$2:B856,B856)&gt;=20,AVERAGE(OFFSET(C856,-19,0,20,1)),"")</f>
        <v>7402.4695</v>
      </c>
      <c r="I856" s="21" t="n">
        <f aca="true">IF(COUNTIFS($B$2:B856,B856)&gt;=50,AVERAGE(OFFSET(C856,-49,0,50,1)),"")</f>
        <v>7531.6924</v>
      </c>
    </row>
    <row r="857" customFormat="false" ht="15" hidden="false" customHeight="false" outlineLevel="0" collapsed="false">
      <c r="A857" s="17" t="n">
        <f aca="false">Cours_Bruts!A857</f>
        <v>45796</v>
      </c>
      <c r="B857" s="18" t="str">
        <f aca="false">Cours_Bruts!B857</f>
        <v>CAC40</v>
      </c>
      <c r="C857" s="19" t="n">
        <f aca="false">Cours_Bruts!C857</f>
        <v>7264.11</v>
      </c>
      <c r="D857" s="20" t="n">
        <f aca="false">IF(B857=B856,(C857-C856)/C856,"")</f>
        <v>0.00423725298819647</v>
      </c>
      <c r="E857" s="20" t="n">
        <f aca="false">IF(B857=B856,(1+E856)*(1+IF(D857="",0,D857))-1,0)</f>
        <v>-0.0314519999999999</v>
      </c>
      <c r="F857" s="21" t="n">
        <f aca="false">IF(B857=B856,MAX(F856,C857),C857)</f>
        <v>7940.43</v>
      </c>
      <c r="G857" s="20" t="n">
        <f aca="false">(C857-F857)/F857</f>
        <v>-0.0851742285997107</v>
      </c>
      <c r="H857" s="21" t="n">
        <f aca="true">IF(COUNTIFS($B$2:B857,B857)&gt;=20,AVERAGE(OFFSET(C857,-19,0,20,1)),"")</f>
        <v>7395.428</v>
      </c>
      <c r="I857" s="21" t="n">
        <f aca="true">IF(COUNTIFS($B$2:B857,B857)&gt;=50,AVERAGE(OFFSET(C857,-49,0,50,1)),"")</f>
        <v>7522.4852</v>
      </c>
    </row>
    <row r="858" customFormat="false" ht="15" hidden="false" customHeight="false" outlineLevel="0" collapsed="false">
      <c r="A858" s="17" t="n">
        <f aca="false">Cours_Bruts!A858</f>
        <v>45797</v>
      </c>
      <c r="B858" s="18" t="str">
        <f aca="false">Cours_Bruts!B858</f>
        <v>CAC40</v>
      </c>
      <c r="C858" s="19" t="n">
        <f aca="false">Cours_Bruts!C858</f>
        <v>7376.73</v>
      </c>
      <c r="D858" s="20" t="n">
        <f aca="false">IF(B858=B857,(C858-C857)/C857,"")</f>
        <v>0.0155036198515716</v>
      </c>
      <c r="E858" s="20" t="n">
        <f aca="false">IF(B858=B857,(1+E857)*(1+IF(D858="",0,D858))-1,0)</f>
        <v>-0.0164359999999999</v>
      </c>
      <c r="F858" s="21" t="n">
        <f aca="false">IF(B858=B857,MAX(F857,C858),C858)</f>
        <v>7940.43</v>
      </c>
      <c r="G858" s="20" t="n">
        <f aca="false">(C858-F858)/F858</f>
        <v>-0.0709911176094998</v>
      </c>
      <c r="H858" s="21" t="n">
        <f aca="true">IF(COUNTIFS($B$2:B858,B858)&gt;=20,AVERAGE(OFFSET(C858,-19,0,20,1)),"")</f>
        <v>7398.246</v>
      </c>
      <c r="I858" s="21" t="n">
        <f aca="true">IF(COUNTIFS($B$2:B858,B858)&gt;=50,AVERAGE(OFFSET(C858,-49,0,50,1)),"")</f>
        <v>7514.6148</v>
      </c>
    </row>
    <row r="859" customFormat="false" ht="15" hidden="false" customHeight="false" outlineLevel="0" collapsed="false">
      <c r="A859" s="17" t="n">
        <f aca="false">Cours_Bruts!A859</f>
        <v>45798</v>
      </c>
      <c r="B859" s="18" t="str">
        <f aca="false">Cours_Bruts!B859</f>
        <v>CAC40</v>
      </c>
      <c r="C859" s="19" t="n">
        <f aca="false">Cours_Bruts!C859</f>
        <v>7435.97</v>
      </c>
      <c r="D859" s="20" t="n">
        <f aca="false">IF(B859=B858,(C859-C858)/C858,"")</f>
        <v>0.00803065857093871</v>
      </c>
      <c r="E859" s="20" t="n">
        <f aca="false">IF(B859=B858,(1+E858)*(1+IF(D859="",0,D859))-1,0)</f>
        <v>-0.00853733333333318</v>
      </c>
      <c r="F859" s="21" t="n">
        <f aca="false">IF(B859=B858,MAX(F858,C859),C859)</f>
        <v>7940.43</v>
      </c>
      <c r="G859" s="20" t="n">
        <f aca="false">(C859-F859)/F859</f>
        <v>-0.0635305644656524</v>
      </c>
      <c r="H859" s="21" t="n">
        <f aca="true">IF(COUNTIFS($B$2:B859,B859)&gt;=20,AVERAGE(OFFSET(C859,-19,0,20,1)),"")</f>
        <v>7409.5935</v>
      </c>
      <c r="I859" s="21" t="n">
        <f aca="true">IF(COUNTIFS($B$2:B859,B859)&gt;=50,AVERAGE(OFFSET(C859,-49,0,50,1)),"")</f>
        <v>7507.3352</v>
      </c>
    </row>
    <row r="860" customFormat="false" ht="15" hidden="false" customHeight="false" outlineLevel="0" collapsed="false">
      <c r="A860" s="17" t="n">
        <f aca="false">Cours_Bruts!A860</f>
        <v>45799</v>
      </c>
      <c r="B860" s="18" t="str">
        <f aca="false">Cours_Bruts!B860</f>
        <v>CAC40</v>
      </c>
      <c r="C860" s="19" t="n">
        <f aca="false">Cours_Bruts!C860</f>
        <v>7392.52</v>
      </c>
      <c r="D860" s="20" t="n">
        <f aca="false">IF(B860=B859,(C860-C859)/C859,"")</f>
        <v>-0.00584321884031267</v>
      </c>
      <c r="E860" s="20" t="n">
        <f aca="false">IF(B860=B859,(1+E859)*(1+IF(D860="",0,D860))-1,0)</f>
        <v>-0.0143306666666665</v>
      </c>
      <c r="F860" s="21" t="n">
        <f aca="false">IF(B860=B859,MAX(F859,C860),C860)</f>
        <v>7940.43</v>
      </c>
      <c r="G860" s="20" t="n">
        <f aca="false">(C860-F860)/F860</f>
        <v>-0.0690025603147436</v>
      </c>
      <c r="H860" s="21" t="n">
        <f aca="true">IF(COUNTIFS($B$2:B860,B860)&gt;=20,AVERAGE(OFFSET(C860,-19,0,20,1)),"")</f>
        <v>7413.4315</v>
      </c>
      <c r="I860" s="21" t="n">
        <f aca="true">IF(COUNTIFS($B$2:B860,B860)&gt;=50,AVERAGE(OFFSET(C860,-49,0,50,1)),"")</f>
        <v>7501.7984</v>
      </c>
    </row>
    <row r="861" customFormat="false" ht="15" hidden="false" customHeight="false" outlineLevel="0" collapsed="false">
      <c r="A861" s="17" t="n">
        <f aca="false">Cours_Bruts!A861</f>
        <v>45800</v>
      </c>
      <c r="B861" s="18" t="str">
        <f aca="false">Cours_Bruts!B861</f>
        <v>CAC40</v>
      </c>
      <c r="C861" s="19" t="n">
        <f aca="false">Cours_Bruts!C861</f>
        <v>7276.05</v>
      </c>
      <c r="D861" s="20" t="n">
        <f aca="false">IF(B861=B860,(C861-C860)/C860,"")</f>
        <v>-0.0157551146293822</v>
      </c>
      <c r="E861" s="20" t="n">
        <f aca="false">IF(B861=B860,(1+E860)*(1+IF(D861="",0,D861))-1,0)</f>
        <v>-0.0298599999999999</v>
      </c>
      <c r="F861" s="21" t="n">
        <f aca="false">IF(B861=B860,MAX(F860,C861),C861)</f>
        <v>7940.43</v>
      </c>
      <c r="G861" s="20" t="n">
        <f aca="false">(C861-F861)/F861</f>
        <v>-0.0836705316966462</v>
      </c>
      <c r="H861" s="21" t="n">
        <f aca="true">IF(COUNTIFS($B$2:B861,B861)&gt;=20,AVERAGE(OFFSET(C861,-19,0,20,1)),"")</f>
        <v>7418.084</v>
      </c>
      <c r="I861" s="21" t="n">
        <f aca="true">IF(COUNTIFS($B$2:B861,B861)&gt;=50,AVERAGE(OFFSET(C861,-49,0,50,1)),"")</f>
        <v>7495.3394</v>
      </c>
    </row>
    <row r="862" customFormat="false" ht="15" hidden="false" customHeight="false" outlineLevel="0" collapsed="false">
      <c r="A862" s="17" t="n">
        <f aca="false">Cours_Bruts!A862</f>
        <v>45803</v>
      </c>
      <c r="B862" s="18" t="str">
        <f aca="false">Cours_Bruts!B862</f>
        <v>CAC40</v>
      </c>
      <c r="C862" s="19" t="n">
        <f aca="false">Cours_Bruts!C862</f>
        <v>7267.93</v>
      </c>
      <c r="D862" s="20" t="n">
        <f aca="false">IF(B862=B861,(C862-C861)/C861,"")</f>
        <v>-0.00111599013200842</v>
      </c>
      <c r="E862" s="20" t="n">
        <f aca="false">IF(B862=B861,(1+E861)*(1+IF(D862="",0,D862))-1,0)</f>
        <v>-0.0309426666666666</v>
      </c>
      <c r="F862" s="21" t="n">
        <f aca="false">IF(B862=B861,MAX(F861,C862),C862)</f>
        <v>7940.43</v>
      </c>
      <c r="G862" s="20" t="n">
        <f aca="false">(C862-F862)/F862</f>
        <v>-0.0846931463409412</v>
      </c>
      <c r="H862" s="21" t="n">
        <f aca="true">IF(COUNTIFS($B$2:B862,B862)&gt;=20,AVERAGE(OFFSET(C862,-19,0,20,1)),"")</f>
        <v>7413.8155</v>
      </c>
      <c r="I862" s="21" t="n">
        <f aca="true">IF(COUNTIFS($B$2:B862,B862)&gt;=50,AVERAGE(OFFSET(C862,-49,0,50,1)),"")</f>
        <v>7487.078</v>
      </c>
    </row>
    <row r="863" customFormat="false" ht="15" hidden="false" customHeight="false" outlineLevel="0" collapsed="false">
      <c r="A863" s="17" t="n">
        <f aca="false">Cours_Bruts!A863</f>
        <v>45804</v>
      </c>
      <c r="B863" s="18" t="str">
        <f aca="false">Cours_Bruts!B863</f>
        <v>CAC40</v>
      </c>
      <c r="C863" s="19" t="n">
        <f aca="false">Cours_Bruts!C863</f>
        <v>7258</v>
      </c>
      <c r="D863" s="20" t="n">
        <f aca="false">IF(B863=B862,(C863-C862)/C862,"")</f>
        <v>-0.00136627622995823</v>
      </c>
      <c r="E863" s="20" t="n">
        <f aca="false">IF(B863=B862,(1+E862)*(1+IF(D863="",0,D863))-1,0)</f>
        <v>-0.0322666666666666</v>
      </c>
      <c r="F863" s="21" t="n">
        <f aca="false">IF(B863=B862,MAX(F862,C863),C863)</f>
        <v>7940.43</v>
      </c>
      <c r="G863" s="20" t="n">
        <f aca="false">(C863-F863)/F863</f>
        <v>-0.0859437083382135</v>
      </c>
      <c r="H863" s="21" t="n">
        <f aca="true">IF(COUNTIFS($B$2:B863,B863)&gt;=20,AVERAGE(OFFSET(C863,-19,0,20,1)),"")</f>
        <v>7406.2755</v>
      </c>
      <c r="I863" s="21" t="n">
        <f aca="true">IF(COUNTIFS($B$2:B863,B863)&gt;=50,AVERAGE(OFFSET(C863,-49,0,50,1)),"")</f>
        <v>7477.699</v>
      </c>
    </row>
    <row r="864" customFormat="false" ht="15" hidden="false" customHeight="false" outlineLevel="0" collapsed="false">
      <c r="A864" s="17" t="n">
        <f aca="false">Cours_Bruts!A864</f>
        <v>45805</v>
      </c>
      <c r="B864" s="18" t="str">
        <f aca="false">Cours_Bruts!B864</f>
        <v>CAC40</v>
      </c>
      <c r="C864" s="19" t="n">
        <f aca="false">Cours_Bruts!C864</f>
        <v>7188.83</v>
      </c>
      <c r="D864" s="20" t="n">
        <f aca="false">IF(B864=B863,(C864-C863)/C863,"")</f>
        <v>-0.00953017360154313</v>
      </c>
      <c r="E864" s="20" t="n">
        <f aca="false">IF(B864=B863,(1+E863)*(1+IF(D864="",0,D864))-1,0)</f>
        <v>-0.0414893333333333</v>
      </c>
      <c r="F864" s="21" t="n">
        <f aca="false">IF(B864=B863,MAX(F863,C864),C864)</f>
        <v>7940.43</v>
      </c>
      <c r="G864" s="20" t="n">
        <f aca="false">(C864-F864)/F864</f>
        <v>-0.094654823479333</v>
      </c>
      <c r="H864" s="21" t="n">
        <f aca="true">IF(COUNTIFS($B$2:B864,B864)&gt;=20,AVERAGE(OFFSET(C864,-19,0,20,1)),"")</f>
        <v>7392.65</v>
      </c>
      <c r="I864" s="21" t="n">
        <f aca="true">IF(COUNTIFS($B$2:B864,B864)&gt;=50,AVERAGE(OFFSET(C864,-49,0,50,1)),"")</f>
        <v>7465.776</v>
      </c>
    </row>
    <row r="865" customFormat="false" ht="15" hidden="false" customHeight="false" outlineLevel="0" collapsed="false">
      <c r="A865" s="17" t="n">
        <f aca="false">Cours_Bruts!A865</f>
        <v>45806</v>
      </c>
      <c r="B865" s="18" t="str">
        <f aca="false">Cours_Bruts!B865</f>
        <v>CAC40</v>
      </c>
      <c r="C865" s="19" t="n">
        <f aca="false">Cours_Bruts!C865</f>
        <v>7230.46</v>
      </c>
      <c r="D865" s="20" t="n">
        <f aca="false">IF(B865=B864,(C865-C864)/C864,"")</f>
        <v>0.00579092842646162</v>
      </c>
      <c r="E865" s="20" t="n">
        <f aca="false">IF(B865=B864,(1+E864)*(1+IF(D865="",0,D865))-1,0)</f>
        <v>-0.0359386666666666</v>
      </c>
      <c r="F865" s="21" t="n">
        <f aca="false">IF(B865=B864,MAX(F864,C865),C865)</f>
        <v>7940.43</v>
      </c>
      <c r="G865" s="20" t="n">
        <f aca="false">(C865-F865)/F865</f>
        <v>-0.0894120343608596</v>
      </c>
      <c r="H865" s="21" t="n">
        <f aca="true">IF(COUNTIFS($B$2:B865,B865)&gt;=20,AVERAGE(OFFSET(C865,-19,0,20,1)),"")</f>
        <v>7378.8535</v>
      </c>
      <c r="I865" s="21" t="n">
        <f aca="true">IF(COUNTIFS($B$2:B865,B865)&gt;=50,AVERAGE(OFFSET(C865,-49,0,50,1)),"")</f>
        <v>7453.6514</v>
      </c>
    </row>
    <row r="866" customFormat="false" ht="15" hidden="false" customHeight="false" outlineLevel="0" collapsed="false">
      <c r="A866" s="17" t="n">
        <f aca="false">Cours_Bruts!A866</f>
        <v>45807</v>
      </c>
      <c r="B866" s="18" t="str">
        <f aca="false">Cours_Bruts!B866</f>
        <v>CAC40</v>
      </c>
      <c r="C866" s="19" t="n">
        <f aca="false">Cours_Bruts!C866</f>
        <v>7366.76</v>
      </c>
      <c r="D866" s="20" t="n">
        <f aca="false">IF(B866=B865,(C866-C865)/C865,"")</f>
        <v>0.0188508061727746</v>
      </c>
      <c r="E866" s="20" t="n">
        <f aca="false">IF(B866=B865,(1+E865)*(1+IF(D866="",0,D866))-1,0)</f>
        <v>-0.0177653333333333</v>
      </c>
      <c r="F866" s="21" t="n">
        <f aca="false">IF(B866=B865,MAX(F865,C866),C866)</f>
        <v>7940.43</v>
      </c>
      <c r="G866" s="20" t="n">
        <f aca="false">(C866-F866)/F866</f>
        <v>-0.072246717117335</v>
      </c>
      <c r="H866" s="21" t="n">
        <f aca="true">IF(COUNTIFS($B$2:B866,B866)&gt;=20,AVERAGE(OFFSET(C866,-19,0,20,1)),"")</f>
        <v>7372.7385</v>
      </c>
      <c r="I866" s="21" t="n">
        <f aca="true">IF(COUNTIFS($B$2:B866,B866)&gt;=50,AVERAGE(OFFSET(C866,-49,0,50,1)),"")</f>
        <v>7442.178</v>
      </c>
    </row>
    <row r="867" customFormat="false" ht="15" hidden="false" customHeight="false" outlineLevel="0" collapsed="false">
      <c r="A867" s="17" t="n">
        <f aca="false">Cours_Bruts!A867</f>
        <v>45810</v>
      </c>
      <c r="B867" s="18" t="str">
        <f aca="false">Cours_Bruts!B867</f>
        <v>CAC40</v>
      </c>
      <c r="C867" s="19" t="n">
        <f aca="false">Cours_Bruts!C867</f>
        <v>7385.02</v>
      </c>
      <c r="D867" s="20" t="n">
        <f aca="false">IF(B867=B866,(C867-C866)/C866,"")</f>
        <v>0.00247870162730973</v>
      </c>
      <c r="E867" s="20" t="n">
        <f aca="false">IF(B867=B866,(1+E866)*(1+IF(D867="",0,D867))-1,0)</f>
        <v>-0.0153306666666665</v>
      </c>
      <c r="F867" s="21" t="n">
        <f aca="false">IF(B867=B866,MAX(F866,C867),C867)</f>
        <v>7940.43</v>
      </c>
      <c r="G867" s="20" t="n">
        <f aca="false">(C867-F867)/F867</f>
        <v>-0.0699470935453118</v>
      </c>
      <c r="H867" s="21" t="n">
        <f aca="true">IF(COUNTIFS($B$2:B867,B867)&gt;=20,AVERAGE(OFFSET(C867,-19,0,20,1)),"")</f>
        <v>7365.9675</v>
      </c>
      <c r="I867" s="21" t="n">
        <f aca="true">IF(COUNTIFS($B$2:B867,B867)&gt;=50,AVERAGE(OFFSET(C867,-49,0,50,1)),"")</f>
        <v>7431.4504</v>
      </c>
    </row>
    <row r="868" customFormat="false" ht="15" hidden="false" customHeight="false" outlineLevel="0" collapsed="false">
      <c r="A868" s="17" t="n">
        <f aca="false">Cours_Bruts!A868</f>
        <v>45811</v>
      </c>
      <c r="B868" s="18" t="str">
        <f aca="false">Cours_Bruts!B868</f>
        <v>CAC40</v>
      </c>
      <c r="C868" s="19" t="n">
        <f aca="false">Cours_Bruts!C868</f>
        <v>7398.72</v>
      </c>
      <c r="D868" s="20" t="n">
        <f aca="false">IF(B868=B867,(C868-C867)/C867,"")</f>
        <v>0.00185510668894598</v>
      </c>
      <c r="E868" s="20" t="n">
        <f aca="false">IF(B868=B867,(1+E867)*(1+IF(D868="",0,D868))-1,0)</f>
        <v>-0.0135039999999997</v>
      </c>
      <c r="F868" s="21" t="n">
        <f aca="false">IF(B868=B867,MAX(F867,C868),C868)</f>
        <v>7940.43</v>
      </c>
      <c r="G868" s="20" t="n">
        <f aca="false">(C868-F868)/F868</f>
        <v>-0.068221746177474</v>
      </c>
      <c r="H868" s="21" t="n">
        <f aca="true">IF(COUNTIFS($B$2:B868,B868)&gt;=20,AVERAGE(OFFSET(C868,-19,0,20,1)),"")</f>
        <v>7360.508</v>
      </c>
      <c r="I868" s="21" t="n">
        <f aca="true">IF(COUNTIFS($B$2:B868,B868)&gt;=50,AVERAGE(OFFSET(C868,-49,0,50,1)),"")</f>
        <v>7420.7668</v>
      </c>
    </row>
    <row r="869" customFormat="false" ht="15" hidden="false" customHeight="false" outlineLevel="0" collapsed="false">
      <c r="A869" s="17" t="n">
        <f aca="false">Cours_Bruts!A869</f>
        <v>45812</v>
      </c>
      <c r="B869" s="18" t="str">
        <f aca="false">Cours_Bruts!B869</f>
        <v>CAC40</v>
      </c>
      <c r="C869" s="19" t="n">
        <f aca="false">Cours_Bruts!C869</f>
        <v>7330.59</v>
      </c>
      <c r="D869" s="20" t="n">
        <f aca="false">IF(B869=B868,(C869-C868)/C868,"")</f>
        <v>-0.00920834955235502</v>
      </c>
      <c r="E869" s="20" t="n">
        <f aca="false">IF(B869=B868,(1+E868)*(1+IF(D869="",0,D869))-1,0)</f>
        <v>-0.0225879999999998</v>
      </c>
      <c r="F869" s="21" t="n">
        <f aca="false">IF(B869=B868,MAX(F868,C869),C869)</f>
        <v>7940.43</v>
      </c>
      <c r="G869" s="20" t="n">
        <f aca="false">(C869-F869)/F869</f>
        <v>-0.0768018860439548</v>
      </c>
      <c r="H869" s="21" t="n">
        <f aca="true">IF(COUNTIFS($B$2:B869,B869)&gt;=20,AVERAGE(OFFSET(C869,-19,0,20,1)),"")</f>
        <v>7349.46</v>
      </c>
      <c r="I869" s="21" t="n">
        <f aca="true">IF(COUNTIFS($B$2:B869,B869)&gt;=50,AVERAGE(OFFSET(C869,-49,0,50,1)),"")</f>
        <v>7410.3278</v>
      </c>
    </row>
    <row r="870" customFormat="false" ht="15" hidden="false" customHeight="false" outlineLevel="0" collapsed="false">
      <c r="A870" s="17" t="n">
        <f aca="false">Cours_Bruts!A870</f>
        <v>45813</v>
      </c>
      <c r="B870" s="18" t="str">
        <f aca="false">Cours_Bruts!B870</f>
        <v>CAC40</v>
      </c>
      <c r="C870" s="19" t="n">
        <f aca="false">Cours_Bruts!C870</f>
        <v>7435.59</v>
      </c>
      <c r="D870" s="20" t="n">
        <f aca="false">IF(B870=B869,(C870-C869)/C869,"")</f>
        <v>0.0143235401243283</v>
      </c>
      <c r="E870" s="20" t="n">
        <f aca="false">IF(B870=B869,(1+E869)*(1+IF(D870="",0,D870))-1,0)</f>
        <v>-0.00858799999999993</v>
      </c>
      <c r="F870" s="21" t="n">
        <f aca="false">IF(B870=B869,MAX(F869,C870),C870)</f>
        <v>7940.43</v>
      </c>
      <c r="G870" s="20" t="n">
        <f aca="false">(C870-F870)/F870</f>
        <v>-0.0635784208160012</v>
      </c>
      <c r="H870" s="21" t="n">
        <f aca="true">IF(COUNTIFS($B$2:B870,B870)&gt;=20,AVERAGE(OFFSET(C870,-19,0,20,1)),"")</f>
        <v>7343.7005</v>
      </c>
      <c r="I870" s="21" t="n">
        <f aca="true">IF(COUNTIFS($B$2:B870,B870)&gt;=50,AVERAGE(OFFSET(C870,-49,0,50,1)),"")</f>
        <v>7403.9744</v>
      </c>
    </row>
    <row r="871" customFormat="false" ht="15" hidden="false" customHeight="false" outlineLevel="0" collapsed="false">
      <c r="A871" s="17" t="n">
        <f aca="false">Cours_Bruts!A871</f>
        <v>45814</v>
      </c>
      <c r="B871" s="18" t="str">
        <f aca="false">Cours_Bruts!B871</f>
        <v>CAC40</v>
      </c>
      <c r="C871" s="19" t="n">
        <f aca="false">Cours_Bruts!C871</f>
        <v>7431.73</v>
      </c>
      <c r="D871" s="20" t="n">
        <f aca="false">IF(B871=B870,(C871-C870)/C870,"")</f>
        <v>-0.000519124911405898</v>
      </c>
      <c r="E871" s="20" t="n">
        <f aca="false">IF(B871=B870,(1+E870)*(1+IF(D871="",0,D871))-1,0)</f>
        <v>-0.0091026666666667</v>
      </c>
      <c r="F871" s="21" t="n">
        <f aca="false">IF(B871=B870,MAX(F870,C871),C871)</f>
        <v>7940.43</v>
      </c>
      <c r="G871" s="20" t="n">
        <f aca="false">(C871-F871)/F871</f>
        <v>-0.0640645405853336</v>
      </c>
      <c r="H871" s="21" t="n">
        <f aca="true">IF(COUNTIFS($B$2:B871,B871)&gt;=20,AVERAGE(OFFSET(C871,-19,0,20,1)),"")</f>
        <v>7341.274</v>
      </c>
      <c r="I871" s="21" t="n">
        <f aca="true">IF(COUNTIFS($B$2:B871,B871)&gt;=50,AVERAGE(OFFSET(C871,-49,0,50,1)),"")</f>
        <v>7400.0758</v>
      </c>
    </row>
    <row r="872" customFormat="false" ht="15" hidden="false" customHeight="false" outlineLevel="0" collapsed="false">
      <c r="A872" s="17" t="n">
        <f aca="false">Cours_Bruts!A872</f>
        <v>45817</v>
      </c>
      <c r="B872" s="18" t="str">
        <f aca="false">Cours_Bruts!B872</f>
        <v>CAC40</v>
      </c>
      <c r="C872" s="19" t="n">
        <f aca="false">Cours_Bruts!C872</f>
        <v>7390.13</v>
      </c>
      <c r="D872" s="20" t="n">
        <f aca="false">IF(B872=B871,(C872-C871)/C871,"")</f>
        <v>-0.00559761993506215</v>
      </c>
      <c r="E872" s="20" t="n">
        <f aca="false">IF(B872=B871,(1+E871)*(1+IF(D872="",0,D872))-1,0)</f>
        <v>-0.0146493333333333</v>
      </c>
      <c r="F872" s="21" t="n">
        <f aca="false">IF(B872=B871,MAX(F871,C872),C872)</f>
        <v>7940.43</v>
      </c>
      <c r="G872" s="20" t="n">
        <f aca="false">(C872-F872)/F872</f>
        <v>-0.0693035515708847</v>
      </c>
      <c r="H872" s="21" t="n">
        <f aca="true">IF(COUNTIFS($B$2:B872,B872)&gt;=20,AVERAGE(OFFSET(C872,-19,0,20,1)),"")</f>
        <v>7339.9605</v>
      </c>
      <c r="I872" s="21" t="n">
        <f aca="true">IF(COUNTIFS($B$2:B872,B872)&gt;=50,AVERAGE(OFFSET(C872,-49,0,50,1)),"")</f>
        <v>7396.6698</v>
      </c>
    </row>
    <row r="873" customFormat="false" ht="15" hidden="false" customHeight="false" outlineLevel="0" collapsed="false">
      <c r="A873" s="17" t="n">
        <f aca="false">Cours_Bruts!A873</f>
        <v>45818</v>
      </c>
      <c r="B873" s="18" t="str">
        <f aca="false">Cours_Bruts!B873</f>
        <v>CAC40</v>
      </c>
      <c r="C873" s="19" t="n">
        <f aca="false">Cours_Bruts!C873</f>
        <v>7396.63</v>
      </c>
      <c r="D873" s="20" t="n">
        <f aca="false">IF(B873=B872,(C873-C872)/C872,"")</f>
        <v>0.000879551509919311</v>
      </c>
      <c r="E873" s="20" t="n">
        <f aca="false">IF(B873=B872,(1+E872)*(1+IF(D873="",0,D873))-1,0)</f>
        <v>-0.0137826666666666</v>
      </c>
      <c r="F873" s="21" t="n">
        <f aca="false">IF(B873=B872,MAX(F872,C873),C873)</f>
        <v>7940.43</v>
      </c>
      <c r="G873" s="20" t="n">
        <f aca="false">(C873-F873)/F873</f>
        <v>-0.0684849561043924</v>
      </c>
      <c r="H873" s="21" t="n">
        <f aca="true">IF(COUNTIFS($B$2:B873,B873)&gt;=20,AVERAGE(OFFSET(C873,-19,0,20,1)),"")</f>
        <v>7342.5625</v>
      </c>
      <c r="I873" s="21" t="n">
        <f aca="true">IF(COUNTIFS($B$2:B873,B873)&gt;=50,AVERAGE(OFFSET(C873,-49,0,50,1)),"")</f>
        <v>7390.9916</v>
      </c>
    </row>
    <row r="874" customFormat="false" ht="15" hidden="false" customHeight="false" outlineLevel="0" collapsed="false">
      <c r="A874" s="17" t="n">
        <f aca="false">Cours_Bruts!A874</f>
        <v>45819</v>
      </c>
      <c r="B874" s="18" t="str">
        <f aca="false">Cours_Bruts!B874</f>
        <v>CAC40</v>
      </c>
      <c r="C874" s="19" t="n">
        <f aca="false">Cours_Bruts!C874</f>
        <v>7433.58</v>
      </c>
      <c r="D874" s="20" t="n">
        <f aca="false">IF(B874=B873,(C874-C873)/C873,"")</f>
        <v>0.00499551822924762</v>
      </c>
      <c r="E874" s="20" t="n">
        <f aca="false">IF(B874=B873,(1+E873)*(1+IF(D874="",0,D874))-1,0)</f>
        <v>-0.00885599999999998</v>
      </c>
      <c r="F874" s="21" t="n">
        <f aca="false">IF(B874=B873,MAX(F873,C874),C874)</f>
        <v>7940.43</v>
      </c>
      <c r="G874" s="20" t="n">
        <f aca="false">(C874-F874)/F874</f>
        <v>-0.0638315557217934</v>
      </c>
      <c r="H874" s="21" t="n">
        <f aca="true">IF(COUNTIFS($B$2:B874,B874)&gt;=20,AVERAGE(OFFSET(C874,-19,0,20,1)),"")</f>
        <v>7343.331</v>
      </c>
      <c r="I874" s="21" t="n">
        <f aca="true">IF(COUNTIFS($B$2:B874,B874)&gt;=50,AVERAGE(OFFSET(C874,-49,0,50,1)),"")</f>
        <v>7388.4198</v>
      </c>
    </row>
    <row r="875" customFormat="false" ht="15" hidden="false" customHeight="false" outlineLevel="0" collapsed="false">
      <c r="A875" s="17" t="n">
        <f aca="false">Cours_Bruts!A875</f>
        <v>45820</v>
      </c>
      <c r="B875" s="18" t="str">
        <f aca="false">Cours_Bruts!B875</f>
        <v>CAC40</v>
      </c>
      <c r="C875" s="19" t="n">
        <f aca="false">Cours_Bruts!C875</f>
        <v>7445.78</v>
      </c>
      <c r="D875" s="20" t="n">
        <f aca="false">IF(B875=B874,(C875-C874)/C874,"")</f>
        <v>0.00164120114399789</v>
      </c>
      <c r="E875" s="20" t="n">
        <f aca="false">IF(B875=B874,(1+E874)*(1+IF(D875="",0,D875))-1,0)</f>
        <v>-0.00722933333333331</v>
      </c>
      <c r="F875" s="21" t="n">
        <f aca="false">IF(B875=B874,MAX(F874,C875),C875)</f>
        <v>7940.43</v>
      </c>
      <c r="G875" s="20" t="n">
        <f aca="false">(C875-F875)/F875</f>
        <v>-0.0622951150000693</v>
      </c>
      <c r="H875" s="21" t="n">
        <f aca="true">IF(COUNTIFS($B$2:B875,B875)&gt;=20,AVERAGE(OFFSET(C875,-19,0,20,1)),"")</f>
        <v>7346.9295</v>
      </c>
      <c r="I875" s="21" t="n">
        <f aca="true">IF(COUNTIFS($B$2:B875,B875)&gt;=50,AVERAGE(OFFSET(C875,-49,0,50,1)),"")</f>
        <v>7386.5188</v>
      </c>
    </row>
    <row r="876" customFormat="false" ht="15" hidden="false" customHeight="false" outlineLevel="0" collapsed="false">
      <c r="A876" s="17" t="n">
        <f aca="false">Cours_Bruts!A876</f>
        <v>45821</v>
      </c>
      <c r="B876" s="18" t="str">
        <f aca="false">Cours_Bruts!B876</f>
        <v>CAC40</v>
      </c>
      <c r="C876" s="19" t="n">
        <f aca="false">Cours_Bruts!C876</f>
        <v>7538.07</v>
      </c>
      <c r="D876" s="20" t="n">
        <f aca="false">IF(B876=B875,(C876-C875)/C875,"")</f>
        <v>0.0123949404897808</v>
      </c>
      <c r="E876" s="20" t="n">
        <f aca="false">IF(B876=B875,(1+E875)*(1+IF(D876="",0,D876))-1,0)</f>
        <v>0.00507600000000008</v>
      </c>
      <c r="F876" s="21" t="n">
        <f aca="false">IF(B876=B875,MAX(F875,C876),C876)</f>
        <v>7940.43</v>
      </c>
      <c r="G876" s="20" t="n">
        <f aca="false">(C876-F876)/F876</f>
        <v>-0.0506723187535185</v>
      </c>
      <c r="H876" s="21" t="n">
        <f aca="true">IF(COUNTIFS($B$2:B876,B876)&gt;=20,AVERAGE(OFFSET(C876,-19,0,20,1)),"")</f>
        <v>7362.16</v>
      </c>
      <c r="I876" s="21" t="n">
        <f aca="true">IF(COUNTIFS($B$2:B876,B876)&gt;=50,AVERAGE(OFFSET(C876,-49,0,50,1)),"")</f>
        <v>7388.3934</v>
      </c>
    </row>
    <row r="877" customFormat="false" ht="15" hidden="false" customHeight="false" outlineLevel="0" collapsed="false">
      <c r="A877" s="17" t="n">
        <f aca="false">Cours_Bruts!A877</f>
        <v>45824</v>
      </c>
      <c r="B877" s="18" t="str">
        <f aca="false">Cours_Bruts!B877</f>
        <v>CAC40</v>
      </c>
      <c r="C877" s="19" t="n">
        <f aca="false">Cours_Bruts!C877</f>
        <v>7569.04</v>
      </c>
      <c r="D877" s="20" t="n">
        <f aca="false">IF(B877=B876,(C877-C876)/C876,"")</f>
        <v>0.00410847869547514</v>
      </c>
      <c r="E877" s="20" t="n">
        <f aca="false">IF(B877=B876,(1+E876)*(1+IF(D877="",0,D877))-1,0)</f>
        <v>0.00920533333333329</v>
      </c>
      <c r="F877" s="21" t="n">
        <f aca="false">IF(B877=B876,MAX(F876,C877),C877)</f>
        <v>7940.43</v>
      </c>
      <c r="G877" s="20" t="n">
        <f aca="false">(C877-F877)/F877</f>
        <v>-0.0467720262000925</v>
      </c>
      <c r="H877" s="21" t="n">
        <f aca="true">IF(COUNTIFS($B$2:B877,B877)&gt;=20,AVERAGE(OFFSET(C877,-19,0,20,1)),"")</f>
        <v>7377.4065</v>
      </c>
      <c r="I877" s="21" t="n">
        <f aca="true">IF(COUNTIFS($B$2:B877,B877)&gt;=50,AVERAGE(OFFSET(C877,-49,0,50,1)),"")</f>
        <v>7391.7536</v>
      </c>
    </row>
    <row r="878" customFormat="false" ht="15" hidden="false" customHeight="false" outlineLevel="0" collapsed="false">
      <c r="A878" s="17" t="n">
        <f aca="false">Cours_Bruts!A878</f>
        <v>45825</v>
      </c>
      <c r="B878" s="18" t="str">
        <f aca="false">Cours_Bruts!B878</f>
        <v>CAC40</v>
      </c>
      <c r="C878" s="19" t="n">
        <f aca="false">Cours_Bruts!C878</f>
        <v>7549.18</v>
      </c>
      <c r="D878" s="20" t="n">
        <f aca="false">IF(B878=B877,(C878-C877)/C877,"")</f>
        <v>-0.00262384661727242</v>
      </c>
      <c r="E878" s="20" t="n">
        <f aca="false">IF(B878=B877,(1+E877)*(1+IF(D878="",0,D878))-1,0)</f>
        <v>0.0065573333333333</v>
      </c>
      <c r="F878" s="21" t="n">
        <f aca="false">IF(B878=B877,MAX(F877,C878),C878)</f>
        <v>7940.43</v>
      </c>
      <c r="G878" s="20" t="n">
        <f aca="false">(C878-F878)/F878</f>
        <v>-0.0492731501946368</v>
      </c>
      <c r="H878" s="21" t="n">
        <f aca="true">IF(COUNTIFS($B$2:B878,B878)&gt;=20,AVERAGE(OFFSET(C878,-19,0,20,1)),"")</f>
        <v>7386.029</v>
      </c>
      <c r="I878" s="21" t="n">
        <f aca="true">IF(COUNTIFS($B$2:B878,B878)&gt;=50,AVERAGE(OFFSET(C878,-49,0,50,1)),"")</f>
        <v>7394.4282</v>
      </c>
    </row>
    <row r="879" customFormat="false" ht="15" hidden="false" customHeight="false" outlineLevel="0" collapsed="false">
      <c r="A879" s="17" t="n">
        <f aca="false">Cours_Bruts!A879</f>
        <v>45826</v>
      </c>
      <c r="B879" s="18" t="str">
        <f aca="false">Cours_Bruts!B879</f>
        <v>CAC40</v>
      </c>
      <c r="C879" s="19" t="n">
        <f aca="false">Cours_Bruts!C879</f>
        <v>7581.5</v>
      </c>
      <c r="D879" s="20" t="n">
        <f aca="false">IF(B879=B878,(C879-C878)/C878,"")</f>
        <v>0.00428125968648247</v>
      </c>
      <c r="E879" s="20" t="n">
        <f aca="false">IF(B879=B878,(1+E878)*(1+IF(D879="",0,D879))-1,0)</f>
        <v>0.0108666666666666</v>
      </c>
      <c r="F879" s="21" t="n">
        <f aca="false">IF(B879=B878,MAX(F878,C879),C879)</f>
        <v>7940.43</v>
      </c>
      <c r="G879" s="20" t="n">
        <f aca="false">(C879-F879)/F879</f>
        <v>-0.0452028416597086</v>
      </c>
      <c r="H879" s="21" t="n">
        <f aca="true">IF(COUNTIFS($B$2:B879,B879)&gt;=20,AVERAGE(OFFSET(C879,-19,0,20,1)),"")</f>
        <v>7393.3055</v>
      </c>
      <c r="I879" s="21" t="n">
        <f aca="true">IF(COUNTIFS($B$2:B879,B879)&gt;=50,AVERAGE(OFFSET(C879,-49,0,50,1)),"")</f>
        <v>7398.7606</v>
      </c>
    </row>
    <row r="880" customFormat="false" ht="15" hidden="false" customHeight="false" outlineLevel="0" collapsed="false">
      <c r="A880" s="17" t="n">
        <f aca="false">Cours_Bruts!A880</f>
        <v>45827</v>
      </c>
      <c r="B880" s="18" t="str">
        <f aca="false">Cours_Bruts!B880</f>
        <v>CAC40</v>
      </c>
      <c r="C880" s="19" t="n">
        <f aca="false">Cours_Bruts!C880</f>
        <v>7621.48</v>
      </c>
      <c r="D880" s="20" t="n">
        <f aca="false">IF(B880=B879,(C880-C879)/C879,"")</f>
        <v>0.00527336279100436</v>
      </c>
      <c r="E880" s="20" t="n">
        <f aca="false">IF(B880=B879,(1+E879)*(1+IF(D880="",0,D880))-1,0)</f>
        <v>0.0161973333333332</v>
      </c>
      <c r="F880" s="21" t="n">
        <f aca="false">IF(B880=B879,MAX(F879,C880),C880)</f>
        <v>7940.43</v>
      </c>
      <c r="G880" s="20" t="n">
        <f aca="false">(C880-F880)/F880</f>
        <v>-0.0401678498519603</v>
      </c>
      <c r="H880" s="21" t="n">
        <f aca="true">IF(COUNTIFS($B$2:B880,B880)&gt;=20,AVERAGE(OFFSET(C880,-19,0,20,1)),"")</f>
        <v>7404.7535</v>
      </c>
      <c r="I880" s="21" t="n">
        <f aca="true">IF(COUNTIFS($B$2:B880,B880)&gt;=50,AVERAGE(OFFSET(C880,-49,0,50,1)),"")</f>
        <v>7402.2398</v>
      </c>
    </row>
    <row r="881" customFormat="false" ht="15" hidden="false" customHeight="false" outlineLevel="0" collapsed="false">
      <c r="A881" s="17" t="n">
        <f aca="false">Cours_Bruts!A881</f>
        <v>45828</v>
      </c>
      <c r="B881" s="18" t="str">
        <f aca="false">Cours_Bruts!B881</f>
        <v>CAC40</v>
      </c>
      <c r="C881" s="19" t="n">
        <f aca="false">Cours_Bruts!C881</f>
        <v>7523.71</v>
      </c>
      <c r="D881" s="20" t="n">
        <f aca="false">IF(B881=B880,(C881-C880)/C880,"")</f>
        <v>-0.0128282170916934</v>
      </c>
      <c r="E881" s="20" t="n">
        <f aca="false">IF(B881=B880,(1+E880)*(1+IF(D881="",0,D881))-1,0)</f>
        <v>0.00316133333333313</v>
      </c>
      <c r="F881" s="21" t="n">
        <f aca="false">IF(B881=B880,MAX(F880,C881),C881)</f>
        <v>7940.43</v>
      </c>
      <c r="G881" s="20" t="n">
        <f aca="false">(C881-F881)/F881</f>
        <v>-0.0524807850456462</v>
      </c>
      <c r="H881" s="21" t="n">
        <f aca="true">IF(COUNTIFS($B$2:B881,B881)&gt;=20,AVERAGE(OFFSET(C881,-19,0,20,1)),"")</f>
        <v>7417.1365</v>
      </c>
      <c r="I881" s="21" t="n">
        <f aca="true">IF(COUNTIFS($B$2:B881,B881)&gt;=50,AVERAGE(OFFSET(C881,-49,0,50,1)),"")</f>
        <v>7401.4252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12"/>
  </cols>
  <sheetData>
    <row r="1" customFormat="false" ht="15" hidden="false" customHeight="false" outlineLevel="0" collapsed="false">
      <c r="A1" s="4" t="s">
        <v>68</v>
      </c>
    </row>
    <row r="2" customFormat="false" ht="15" hidden="false" customHeight="false" outlineLevel="0" collapsed="false">
      <c r="A2" s="22" t="s">
        <v>69</v>
      </c>
      <c r="B2" s="23" t="n">
        <v>0.03</v>
      </c>
    </row>
    <row r="3" customFormat="false" ht="15" hidden="false" customHeight="false" outlineLevel="0" collapsed="false">
      <c r="A3" s="22" t="s">
        <v>70</v>
      </c>
      <c r="B3" s="24" t="n">
        <v>252</v>
      </c>
    </row>
    <row r="5" customFormat="false" ht="39.55" hidden="false" customHeight="false" outlineLevel="0" collapsed="false">
      <c r="A5" s="25" t="s">
        <v>21</v>
      </c>
      <c r="B5" s="25" t="s">
        <v>71</v>
      </c>
      <c r="C5" s="25" t="s">
        <v>72</v>
      </c>
      <c r="D5" s="25" t="s">
        <v>73</v>
      </c>
      <c r="E5" s="25" t="s">
        <v>74</v>
      </c>
      <c r="F5" s="25" t="s">
        <v>75</v>
      </c>
    </row>
    <row r="6" customFormat="false" ht="15" hidden="false" customHeight="false" outlineLevel="0" collapsed="false">
      <c r="A6" s="26" t="s">
        <v>29</v>
      </c>
      <c r="B6" s="8" t="n">
        <f aca="false">AVERAGE(Calculs_Rendements!D3:D81)*$B$3</f>
        <v>-0.445381552001456</v>
      </c>
      <c r="C6" s="8" t="n">
        <f aca="false">STDEV(Calculs_Rendements!D3:D81)*SQRT($B$3)</f>
        <v>0.269088485841695</v>
      </c>
      <c r="D6" s="27" t="n">
        <f aca="false">(B6-$B$2)/C6</f>
        <v>-1.76663654156174</v>
      </c>
      <c r="E6" s="8" t="n">
        <f aca="false">MIN(Calculs_Rendements!G2:G81)</f>
        <v>-0.238922989632228</v>
      </c>
      <c r="F6" s="27" t="n">
        <f aca="false">SLOPE(Calculs_Rendements!D3:D81,Calculs_Rendements!D803:D881)</f>
        <v>-0.0693990953116242</v>
      </c>
    </row>
    <row r="7" customFormat="false" ht="15" hidden="false" customHeight="false" outlineLevel="0" collapsed="false">
      <c r="A7" s="26" t="s">
        <v>33</v>
      </c>
      <c r="B7" s="8" t="n">
        <f aca="false">AVERAGE(Calculs_Rendements!D83:D161)*$B$3</f>
        <v>0.559406471956232</v>
      </c>
      <c r="C7" s="8" t="n">
        <f aca="false">STDEV(Calculs_Rendements!D83:D161)*SQRT($B$3)</f>
        <v>0.27444716542249</v>
      </c>
      <c r="D7" s="27" t="n">
        <f aca="false">(B7-$B$2)/C7</f>
        <v>1.92899231129333</v>
      </c>
      <c r="E7" s="8" t="n">
        <f aca="false">MIN(Calculs_Rendements!G82:G161)</f>
        <v>-0.125081774172445</v>
      </c>
      <c r="F7" s="27" t="n">
        <f aca="false">SLOPE(Calculs_Rendements!D83:D161,Calculs_Rendements!D803:D881)</f>
        <v>0.435551863483902</v>
      </c>
    </row>
    <row r="8" customFormat="false" ht="15" hidden="false" customHeight="false" outlineLevel="0" collapsed="false">
      <c r="A8" s="26" t="s">
        <v>35</v>
      </c>
      <c r="B8" s="8" t="n">
        <f aca="false">AVERAGE(Calculs_Rendements!D163:D241)*$B$3</f>
        <v>0.561555857374306</v>
      </c>
      <c r="C8" s="8" t="n">
        <f aca="false">STDEV(Calculs_Rendements!D163:D241)*SQRT($B$3)</f>
        <v>0.320943883455991</v>
      </c>
      <c r="D8" s="27" t="n">
        <f aca="false">(B8-$B$2)/C8</f>
        <v>1.65622678846657</v>
      </c>
      <c r="E8" s="8" t="n">
        <f aca="false">MIN(Calculs_Rendements!G162:G241)</f>
        <v>-0.108052101835406</v>
      </c>
      <c r="F8" s="27" t="n">
        <f aca="false">SLOPE(Calculs_Rendements!D163:D241,Calculs_Rendements!D803:D881)</f>
        <v>-0.392441986073111</v>
      </c>
    </row>
    <row r="9" customFormat="false" ht="15" hidden="false" customHeight="false" outlineLevel="0" collapsed="false">
      <c r="A9" s="26" t="s">
        <v>39</v>
      </c>
      <c r="B9" s="8" t="n">
        <f aca="false">AVERAGE(Calculs_Rendements!D243:D321)*$B$3</f>
        <v>-0.366263672351451</v>
      </c>
      <c r="C9" s="8" t="n">
        <f aca="false">STDEV(Calculs_Rendements!D243:D321)*SQRT($B$3)</f>
        <v>0.283406908618095</v>
      </c>
      <c r="D9" s="27" t="n">
        <f aca="false">(B9-$B$2)/C9</f>
        <v>-1.39821458228965</v>
      </c>
      <c r="E9" s="8" t="n">
        <f aca="false">MIN(Calculs_Rendements!G242:G321)</f>
        <v>-0.29504124900204</v>
      </c>
      <c r="F9" s="27" t="n">
        <f aca="false">SLOPE(Calculs_Rendements!D243:D321,Calculs_Rendements!D803:D881)</f>
        <v>0.0948110631341473</v>
      </c>
    </row>
    <row r="10" customFormat="false" ht="15" hidden="false" customHeight="false" outlineLevel="0" collapsed="false">
      <c r="A10" s="26" t="s">
        <v>41</v>
      </c>
      <c r="B10" s="8" t="n">
        <f aca="false">AVERAGE(Calculs_Rendements!D323:D401)*$B$3</f>
        <v>-0.397097357150975</v>
      </c>
      <c r="C10" s="8" t="n">
        <f aca="false">STDEV(Calculs_Rendements!D323:D401)*SQRT($B$3)</f>
        <v>0.17986677481829</v>
      </c>
      <c r="D10" s="27" t="n">
        <f aca="false">(B10-$B$2)/C10</f>
        <v>-2.37452057269859</v>
      </c>
      <c r="E10" s="8" t="n">
        <f aca="false">MIN(Calculs_Rendements!G322:G401)</f>
        <v>-0.141561601415616</v>
      </c>
      <c r="F10" s="27" t="n">
        <f aca="false">SLOPE(Calculs_Rendements!D323:D401,Calculs_Rendements!D803:D881)</f>
        <v>-0.0103181056125358</v>
      </c>
    </row>
    <row r="11" customFormat="false" ht="15" hidden="false" customHeight="false" outlineLevel="0" collapsed="false">
      <c r="A11" s="26" t="s">
        <v>44</v>
      </c>
      <c r="B11" s="8" t="n">
        <f aca="false">AVERAGE(Calculs_Rendements!D403:D481)*$B$3</f>
        <v>0.346283068371819</v>
      </c>
      <c r="C11" s="8" t="n">
        <f aca="false">STDEV(Calculs_Rendements!D403:D481)*SQRT($B$3)</f>
        <v>0.162283447773301</v>
      </c>
      <c r="D11" s="27" t="n">
        <f aca="false">(B11-$B$2)/C11</f>
        <v>1.94895457738639</v>
      </c>
      <c r="E11" s="8" t="n">
        <f aca="false">MIN(Calculs_Rendements!G402:G481)</f>
        <v>-0.0549223446893788</v>
      </c>
      <c r="F11" s="27" t="n">
        <f aca="false">SLOPE(Calculs_Rendements!D403:D481,Calculs_Rendements!D803:D881)</f>
        <v>0.0115968239656487</v>
      </c>
    </row>
    <row r="12" customFormat="false" ht="15" hidden="false" customHeight="false" outlineLevel="0" collapsed="false">
      <c r="A12" s="26" t="s">
        <v>46</v>
      </c>
      <c r="B12" s="8" t="n">
        <f aca="false">AVERAGE(Calculs_Rendements!D483:D561)*$B$3</f>
        <v>0.420187257068839</v>
      </c>
      <c r="C12" s="8" t="n">
        <f aca="false">STDEV(Calculs_Rendements!D483:D561)*SQRT($B$3)</f>
        <v>0.234861621315261</v>
      </c>
      <c r="D12" s="27" t="n">
        <f aca="false">(B12-$B$2)/C12</f>
        <v>1.66134958484801</v>
      </c>
      <c r="E12" s="8" t="n">
        <f aca="false">MIN(Calculs_Rendements!G482:G561)</f>
        <v>-0.0756118881118881</v>
      </c>
      <c r="F12" s="27" t="n">
        <f aca="false">SLOPE(Calculs_Rendements!D483:D561,Calculs_Rendements!D803:D881)</f>
        <v>0.0165443469813373</v>
      </c>
    </row>
    <row r="13" customFormat="false" ht="15" hidden="false" customHeight="false" outlineLevel="0" collapsed="false">
      <c r="A13" s="26" t="s">
        <v>49</v>
      </c>
      <c r="B13" s="8" t="n">
        <f aca="false">AVERAGE(Calculs_Rendements!D563:D641)*$B$3</f>
        <v>0.602025116253149</v>
      </c>
      <c r="C13" s="8" t="n">
        <f aca="false">STDEV(Calculs_Rendements!D563:D641)*SQRT($B$3)</f>
        <v>0.235799152929686</v>
      </c>
      <c r="D13" s="27" t="n">
        <f aca="false">(B13-$B$2)/C13</f>
        <v>2.42589979287891</v>
      </c>
      <c r="E13" s="8" t="n">
        <f aca="false">MIN(Calculs_Rendements!G562:G641)</f>
        <v>-0.0837950728838121</v>
      </c>
      <c r="F13" s="27" t="n">
        <f aca="false">SLOPE(Calculs_Rendements!D563:D641,Calculs_Rendements!D803:D881)</f>
        <v>-0.0414120297575373</v>
      </c>
    </row>
    <row r="14" customFormat="false" ht="15" hidden="false" customHeight="false" outlineLevel="0" collapsed="false">
      <c r="A14" s="26" t="s">
        <v>51</v>
      </c>
      <c r="B14" s="8" t="n">
        <f aca="false">AVERAGE(Calculs_Rendements!D643:D721)*$B$3</f>
        <v>0.561741800727002</v>
      </c>
      <c r="C14" s="8" t="n">
        <f aca="false">STDEV(Calculs_Rendements!D643:D721)*SQRT($B$3)</f>
        <v>0.256921043858372</v>
      </c>
      <c r="D14" s="27" t="n">
        <f aca="false">(B14-$B$2)/C14</f>
        <v>2.06967009296492</v>
      </c>
      <c r="E14" s="8" t="n">
        <f aca="false">MIN(Calculs_Rendements!G642:G721)</f>
        <v>-0.0789</v>
      </c>
      <c r="F14" s="27" t="n">
        <f aca="false">SLOPE(Calculs_Rendements!D643:D721,Calculs_Rendements!D803:D881)</f>
        <v>0.12624933200039</v>
      </c>
    </row>
    <row r="15" customFormat="false" ht="15" hidden="false" customHeight="false" outlineLevel="0" collapsed="false">
      <c r="A15" s="26" t="s">
        <v>54</v>
      </c>
      <c r="B15" s="8" t="n">
        <f aca="false">AVERAGE(Calculs_Rendements!D723:D801)*$B$3</f>
        <v>0.30789673049927</v>
      </c>
      <c r="C15" s="8" t="n">
        <f aca="false">STDEV(Calculs_Rendements!D723:D801)*SQRT($B$3)</f>
        <v>0.138713521921654</v>
      </c>
      <c r="D15" s="27" t="n">
        <f aca="false">(B15-$B$2)/C15</f>
        <v>2.0033860192536</v>
      </c>
      <c r="E15" s="8" t="n">
        <f aca="false">MIN(Calculs_Rendements!G722:G801)</f>
        <v>-0.0610630038817558</v>
      </c>
      <c r="F15" s="27" t="n">
        <f aca="false">SLOPE(Calculs_Rendements!D723:D801,Calculs_Rendements!D803:D881)</f>
        <v>0.133191000452354</v>
      </c>
    </row>
    <row r="16" customFormat="false" ht="15" hidden="false" customHeight="false" outlineLevel="0" collapsed="false">
      <c r="A16" s="28" t="s">
        <v>76</v>
      </c>
      <c r="B16" s="8" t="n">
        <f aca="false">AVERAGE(Calculs_Rendements!D803:D881)*$B$3</f>
        <v>0.0226595798971685</v>
      </c>
      <c r="C16" s="8" t="n">
        <f aca="false">STDEV(Calculs_Rendements!D803:D881)*SQRT($B$3)</f>
        <v>0.159656336346631</v>
      </c>
      <c r="D16" s="27" t="n">
        <f aca="false">(B16-$B$2)/C16</f>
        <v>-0.0459763782058401</v>
      </c>
      <c r="E16" s="8" t="n">
        <f aca="false">MIN(Calculs_Rendements!G802:G881)</f>
        <v>-0.0953890406438946</v>
      </c>
      <c r="F16" s="27" t="n">
        <v>1</v>
      </c>
    </row>
    <row r="18" customFormat="false" ht="15" hidden="false" customHeight="false" outlineLevel="0" collapsed="false">
      <c r="A18" s="11" t="s">
        <v>77</v>
      </c>
    </row>
    <row r="20" customFormat="false" ht="15" hidden="false" customHeight="false" outlineLevel="0" collapsed="false">
      <c r="A20" s="4" t="s">
        <v>78</v>
      </c>
    </row>
    <row r="21" customFormat="false" ht="15" hidden="false" customHeight="false" outlineLevel="0" collapsed="false">
      <c r="A21" s="29"/>
      <c r="B21" s="5" t="s">
        <v>29</v>
      </c>
      <c r="C21" s="5" t="s">
        <v>33</v>
      </c>
      <c r="D21" s="5" t="s">
        <v>35</v>
      </c>
      <c r="E21" s="5" t="s">
        <v>39</v>
      </c>
      <c r="F21" s="5" t="s">
        <v>41</v>
      </c>
      <c r="G21" s="5" t="s">
        <v>44</v>
      </c>
      <c r="H21" s="5" t="s">
        <v>46</v>
      </c>
      <c r="I21" s="5" t="s">
        <v>49</v>
      </c>
      <c r="J21" s="5" t="s">
        <v>51</v>
      </c>
      <c r="K21" s="5" t="s">
        <v>54</v>
      </c>
    </row>
    <row r="22" customFormat="false" ht="15" hidden="false" customHeight="false" outlineLevel="0" collapsed="false">
      <c r="A22" s="30" t="s">
        <v>29</v>
      </c>
      <c r="B22" s="31" t="n">
        <f aca="false">CORREL(Calculs_Rendements!D3:D81,Calculs_Rendements!D3:D81)</f>
        <v>1</v>
      </c>
      <c r="C22" s="27" t="n">
        <f aca="false">CORREL(Calculs_Rendements!D3:D81,Calculs_Rendements!D83:D161)</f>
        <v>-0.0674428980381063</v>
      </c>
      <c r="D22" s="27" t="n">
        <f aca="false">CORREL(Calculs_Rendements!D3:D81,Calculs_Rendements!D163:D241)</f>
        <v>-0.13541142538283</v>
      </c>
      <c r="E22" s="27" t="n">
        <f aca="false">CORREL(Calculs_Rendements!D3:D81,Calculs_Rendements!D243:D321)</f>
        <v>0.167290603826446</v>
      </c>
      <c r="F22" s="27" t="n">
        <f aca="false">CORREL(Calculs_Rendements!D3:D81,Calculs_Rendements!D323:D401)</f>
        <v>0.0571243663101644</v>
      </c>
      <c r="G22" s="27" t="n">
        <f aca="false">CORREL(Calculs_Rendements!D3:D81,Calculs_Rendements!D403:D481)</f>
        <v>0.0623185316931824</v>
      </c>
      <c r="H22" s="27" t="n">
        <f aca="false">CORREL(Calculs_Rendements!D3:D81,Calculs_Rendements!D483:D561)</f>
        <v>-0.306003489703405</v>
      </c>
      <c r="I22" s="27" t="n">
        <f aca="false">CORREL(Calculs_Rendements!D3:D81,Calculs_Rendements!D563:D641)</f>
        <v>0.139873342943528</v>
      </c>
      <c r="J22" s="27" t="n">
        <f aca="false">CORREL(Calculs_Rendements!D3:D81,Calculs_Rendements!D643:D721)</f>
        <v>0.105018820348236</v>
      </c>
      <c r="K22" s="27" t="n">
        <f aca="false">CORREL(Calculs_Rendements!D3:D81,Calculs_Rendements!D723:D801)</f>
        <v>-0.0346582154432516</v>
      </c>
    </row>
    <row r="23" customFormat="false" ht="15" hidden="false" customHeight="false" outlineLevel="0" collapsed="false">
      <c r="A23" s="30" t="s">
        <v>33</v>
      </c>
      <c r="B23" s="27" t="n">
        <f aca="false">CORREL(Calculs_Rendements!D83:D161,Calculs_Rendements!D3:D81)</f>
        <v>-0.0674428980381063</v>
      </c>
      <c r="C23" s="31" t="n">
        <f aca="false">CORREL(Calculs_Rendements!D83:D161,Calculs_Rendements!D83:D161)</f>
        <v>1</v>
      </c>
      <c r="D23" s="27" t="n">
        <f aca="false">CORREL(Calculs_Rendements!D83:D161,Calculs_Rendements!D163:D241)</f>
        <v>0.0189824372688058</v>
      </c>
      <c r="E23" s="27" t="n">
        <f aca="false">CORREL(Calculs_Rendements!D83:D161,Calculs_Rendements!D243:D321)</f>
        <v>0.15308757544476</v>
      </c>
      <c r="F23" s="27" t="n">
        <f aca="false">CORREL(Calculs_Rendements!D83:D161,Calculs_Rendements!D323:D401)</f>
        <v>-0.0486803337628953</v>
      </c>
      <c r="G23" s="27" t="n">
        <f aca="false">CORREL(Calculs_Rendements!D83:D161,Calculs_Rendements!D403:D481)</f>
        <v>0.122960901588831</v>
      </c>
      <c r="H23" s="27" t="n">
        <f aca="false">CORREL(Calculs_Rendements!D83:D161,Calculs_Rendements!D483:D561)</f>
        <v>0.270199259707565</v>
      </c>
      <c r="I23" s="27" t="n">
        <f aca="false">CORREL(Calculs_Rendements!D83:D161,Calculs_Rendements!D563:D641)</f>
        <v>-0.0149896691542833</v>
      </c>
      <c r="J23" s="27" t="n">
        <f aca="false">CORREL(Calculs_Rendements!D83:D161,Calculs_Rendements!D643:D721)</f>
        <v>0.196695690956321</v>
      </c>
      <c r="K23" s="27" t="n">
        <f aca="false">CORREL(Calculs_Rendements!D83:D161,Calculs_Rendements!D723:D801)</f>
        <v>0.0253873529073777</v>
      </c>
    </row>
    <row r="24" customFormat="false" ht="15" hidden="false" customHeight="false" outlineLevel="0" collapsed="false">
      <c r="A24" s="30" t="s">
        <v>35</v>
      </c>
      <c r="B24" s="27" t="n">
        <f aca="false">CORREL(Calculs_Rendements!D163:D241,Calculs_Rendements!D3:D81)</f>
        <v>-0.13541142538283</v>
      </c>
      <c r="C24" s="27" t="n">
        <f aca="false">CORREL(Calculs_Rendements!D163:D241,Calculs_Rendements!D83:D161)</f>
        <v>0.0189824372688058</v>
      </c>
      <c r="D24" s="31" t="n">
        <f aca="false">CORREL(Calculs_Rendements!D163:D241,Calculs_Rendements!D163:D241)</f>
        <v>1</v>
      </c>
      <c r="E24" s="27" t="n">
        <f aca="false">CORREL(Calculs_Rendements!D163:D241,Calculs_Rendements!D243:D321)</f>
        <v>-0.0918180487609468</v>
      </c>
      <c r="F24" s="27" t="n">
        <f aca="false">CORREL(Calculs_Rendements!D163:D241,Calculs_Rendements!D323:D401)</f>
        <v>0.00375763711951989</v>
      </c>
      <c r="G24" s="27" t="n">
        <f aca="false">CORREL(Calculs_Rendements!D163:D241,Calculs_Rendements!D403:D481)</f>
        <v>0.00632437090952124</v>
      </c>
      <c r="H24" s="27" t="n">
        <f aca="false">CORREL(Calculs_Rendements!D163:D241,Calculs_Rendements!D483:D561)</f>
        <v>0.121197140122665</v>
      </c>
      <c r="I24" s="27" t="n">
        <f aca="false">CORREL(Calculs_Rendements!D163:D241,Calculs_Rendements!D563:D641)</f>
        <v>-0.165591101240812</v>
      </c>
      <c r="J24" s="27" t="n">
        <f aca="false">CORREL(Calculs_Rendements!D163:D241,Calculs_Rendements!D643:D721)</f>
        <v>-0.0222002040791632</v>
      </c>
      <c r="K24" s="27" t="n">
        <f aca="false">CORREL(Calculs_Rendements!D163:D241,Calculs_Rendements!D723:D801)</f>
        <v>0.0031551496199072</v>
      </c>
    </row>
    <row r="25" customFormat="false" ht="15" hidden="false" customHeight="false" outlineLevel="0" collapsed="false">
      <c r="A25" s="30" t="s">
        <v>39</v>
      </c>
      <c r="B25" s="27" t="n">
        <f aca="false">CORREL(Calculs_Rendements!D243:D321,Calculs_Rendements!D3:D81)</f>
        <v>0.167290603826446</v>
      </c>
      <c r="C25" s="27" t="n">
        <f aca="false">CORREL(Calculs_Rendements!D243:D321,Calculs_Rendements!D83:D161)</f>
        <v>0.15308757544476</v>
      </c>
      <c r="D25" s="27" t="n">
        <f aca="false">CORREL(Calculs_Rendements!D243:D321,Calculs_Rendements!D163:D241)</f>
        <v>-0.0918180487609468</v>
      </c>
      <c r="E25" s="31" t="n">
        <f aca="false">CORREL(Calculs_Rendements!D243:D321,Calculs_Rendements!D243:D321)</f>
        <v>1</v>
      </c>
      <c r="F25" s="27" t="n">
        <f aca="false">CORREL(Calculs_Rendements!D243:D321,Calculs_Rendements!D323:D401)</f>
        <v>-0.00655657413313716</v>
      </c>
      <c r="G25" s="27" t="n">
        <f aca="false">CORREL(Calculs_Rendements!D243:D321,Calculs_Rendements!D403:D481)</f>
        <v>0.0178897726266008</v>
      </c>
      <c r="H25" s="27" t="n">
        <f aca="false">CORREL(Calculs_Rendements!D243:D321,Calculs_Rendements!D483:D561)</f>
        <v>0.0910635817040064</v>
      </c>
      <c r="I25" s="27" t="n">
        <f aca="false">CORREL(Calculs_Rendements!D243:D321,Calculs_Rendements!D563:D641)</f>
        <v>0.249738504152385</v>
      </c>
      <c r="J25" s="27" t="n">
        <f aca="false">CORREL(Calculs_Rendements!D243:D321,Calculs_Rendements!D643:D721)</f>
        <v>0.252690215184717</v>
      </c>
      <c r="K25" s="27" t="n">
        <f aca="false">CORREL(Calculs_Rendements!D243:D321,Calculs_Rendements!D723:D801)</f>
        <v>0.116974708222309</v>
      </c>
    </row>
    <row r="26" customFormat="false" ht="15" hidden="false" customHeight="false" outlineLevel="0" collapsed="false">
      <c r="A26" s="30" t="s">
        <v>41</v>
      </c>
      <c r="B26" s="27" t="n">
        <f aca="false">CORREL(Calculs_Rendements!D323:D401,Calculs_Rendements!D3:D81)</f>
        <v>0.0571243663101644</v>
      </c>
      <c r="C26" s="27" t="n">
        <f aca="false">CORREL(Calculs_Rendements!D323:D401,Calculs_Rendements!D83:D161)</f>
        <v>-0.0486803337628953</v>
      </c>
      <c r="D26" s="27" t="n">
        <f aca="false">CORREL(Calculs_Rendements!D323:D401,Calculs_Rendements!D163:D241)</f>
        <v>0.00375763711951989</v>
      </c>
      <c r="E26" s="27" t="n">
        <f aca="false">CORREL(Calculs_Rendements!D323:D401,Calculs_Rendements!D243:D321)</f>
        <v>-0.00655657413313716</v>
      </c>
      <c r="F26" s="31" t="n">
        <f aca="false">CORREL(Calculs_Rendements!D323:D401,Calculs_Rendements!D323:D401)</f>
        <v>1</v>
      </c>
      <c r="G26" s="27" t="n">
        <f aca="false">CORREL(Calculs_Rendements!D323:D401,Calculs_Rendements!D403:D481)</f>
        <v>0.0799226647138787</v>
      </c>
      <c r="H26" s="27" t="n">
        <f aca="false">CORREL(Calculs_Rendements!D323:D401,Calculs_Rendements!D483:D561)</f>
        <v>-0.108402775500455</v>
      </c>
      <c r="I26" s="27" t="n">
        <f aca="false">CORREL(Calculs_Rendements!D323:D401,Calculs_Rendements!D563:D641)</f>
        <v>-0.222743899457797</v>
      </c>
      <c r="J26" s="27" t="n">
        <f aca="false">CORREL(Calculs_Rendements!D323:D401,Calculs_Rendements!D643:D721)</f>
        <v>0.167858231555608</v>
      </c>
      <c r="K26" s="27" t="n">
        <f aca="false">CORREL(Calculs_Rendements!D323:D401,Calculs_Rendements!D723:D801)</f>
        <v>-0.119771874122051</v>
      </c>
    </row>
    <row r="27" customFormat="false" ht="15" hidden="false" customHeight="false" outlineLevel="0" collapsed="false">
      <c r="A27" s="30" t="s">
        <v>44</v>
      </c>
      <c r="B27" s="27" t="n">
        <f aca="false">CORREL(Calculs_Rendements!D403:D481,Calculs_Rendements!D3:D81)</f>
        <v>0.0623185316931824</v>
      </c>
      <c r="C27" s="27" t="n">
        <f aca="false">CORREL(Calculs_Rendements!D403:D481,Calculs_Rendements!D83:D161)</f>
        <v>0.122960901588831</v>
      </c>
      <c r="D27" s="27" t="n">
        <f aca="false">CORREL(Calculs_Rendements!D403:D481,Calculs_Rendements!D163:D241)</f>
        <v>0.00632437090952124</v>
      </c>
      <c r="E27" s="27" t="n">
        <f aca="false">CORREL(Calculs_Rendements!D403:D481,Calculs_Rendements!D243:D321)</f>
        <v>0.0178897726266008</v>
      </c>
      <c r="F27" s="27" t="n">
        <f aca="false">CORREL(Calculs_Rendements!D403:D481,Calculs_Rendements!D323:D401)</f>
        <v>0.0799226647138787</v>
      </c>
      <c r="G27" s="31" t="n">
        <f aca="false">CORREL(Calculs_Rendements!D403:D481,Calculs_Rendements!D403:D481)</f>
        <v>1</v>
      </c>
      <c r="H27" s="27" t="n">
        <f aca="false">CORREL(Calculs_Rendements!D403:D481,Calculs_Rendements!D483:D561)</f>
        <v>0.136671843120357</v>
      </c>
      <c r="I27" s="27" t="n">
        <f aca="false">CORREL(Calculs_Rendements!D403:D481,Calculs_Rendements!D563:D641)</f>
        <v>0.0586255289294835</v>
      </c>
      <c r="J27" s="27" t="n">
        <f aca="false">CORREL(Calculs_Rendements!D403:D481,Calculs_Rendements!D643:D721)</f>
        <v>0.247062729504419</v>
      </c>
      <c r="K27" s="27" t="n">
        <f aca="false">CORREL(Calculs_Rendements!D403:D481,Calculs_Rendements!D723:D801)</f>
        <v>-0.0254732140401518</v>
      </c>
    </row>
    <row r="28" customFormat="false" ht="15" hidden="false" customHeight="false" outlineLevel="0" collapsed="false">
      <c r="A28" s="30" t="s">
        <v>46</v>
      </c>
      <c r="B28" s="27" t="n">
        <f aca="false">CORREL(Calculs_Rendements!D483:D561,Calculs_Rendements!D3:D81)</f>
        <v>-0.306003489703405</v>
      </c>
      <c r="C28" s="27" t="n">
        <f aca="false">CORREL(Calculs_Rendements!D483:D561,Calculs_Rendements!D83:D161)</f>
        <v>0.270199259707565</v>
      </c>
      <c r="D28" s="27" t="n">
        <f aca="false">CORREL(Calculs_Rendements!D483:D561,Calculs_Rendements!D163:D241)</f>
        <v>0.121197140122665</v>
      </c>
      <c r="E28" s="27" t="n">
        <f aca="false">CORREL(Calculs_Rendements!D483:D561,Calculs_Rendements!D243:D321)</f>
        <v>0.0910635817040064</v>
      </c>
      <c r="F28" s="27" t="n">
        <f aca="false">CORREL(Calculs_Rendements!D483:D561,Calculs_Rendements!D323:D401)</f>
        <v>-0.108402775500455</v>
      </c>
      <c r="G28" s="27" t="n">
        <f aca="false">CORREL(Calculs_Rendements!D483:D561,Calculs_Rendements!D403:D481)</f>
        <v>0.136671843120357</v>
      </c>
      <c r="H28" s="31" t="n">
        <f aca="false">CORREL(Calculs_Rendements!D483:D561,Calculs_Rendements!D483:D561)</f>
        <v>1</v>
      </c>
      <c r="I28" s="27" t="n">
        <f aca="false">CORREL(Calculs_Rendements!D483:D561,Calculs_Rendements!D563:D641)</f>
        <v>0.0919129489249479</v>
      </c>
      <c r="J28" s="27" t="n">
        <f aca="false">CORREL(Calculs_Rendements!D483:D561,Calculs_Rendements!D643:D721)</f>
        <v>0.245580908597295</v>
      </c>
      <c r="K28" s="27" t="n">
        <f aca="false">CORREL(Calculs_Rendements!D483:D561,Calculs_Rendements!D723:D801)</f>
        <v>-0.141945846765441</v>
      </c>
    </row>
    <row r="29" customFormat="false" ht="15" hidden="false" customHeight="false" outlineLevel="0" collapsed="false">
      <c r="A29" s="30" t="s">
        <v>49</v>
      </c>
      <c r="B29" s="27" t="n">
        <f aca="false">CORREL(Calculs_Rendements!D563:D641,Calculs_Rendements!D3:D81)</f>
        <v>0.139873342943528</v>
      </c>
      <c r="C29" s="27" t="n">
        <f aca="false">CORREL(Calculs_Rendements!D563:D641,Calculs_Rendements!D83:D161)</f>
        <v>-0.0149896691542833</v>
      </c>
      <c r="D29" s="27" t="n">
        <f aca="false">CORREL(Calculs_Rendements!D563:D641,Calculs_Rendements!D163:D241)</f>
        <v>-0.165591101240812</v>
      </c>
      <c r="E29" s="27" t="n">
        <f aca="false">CORREL(Calculs_Rendements!D563:D641,Calculs_Rendements!D243:D321)</f>
        <v>0.249738504152385</v>
      </c>
      <c r="F29" s="27" t="n">
        <f aca="false">CORREL(Calculs_Rendements!D563:D641,Calculs_Rendements!D323:D401)</f>
        <v>-0.222743899457797</v>
      </c>
      <c r="G29" s="27" t="n">
        <f aca="false">CORREL(Calculs_Rendements!D563:D641,Calculs_Rendements!D403:D481)</f>
        <v>0.0586255289294835</v>
      </c>
      <c r="H29" s="27" t="n">
        <f aca="false">CORREL(Calculs_Rendements!D563:D641,Calculs_Rendements!D483:D561)</f>
        <v>0.0919129489249479</v>
      </c>
      <c r="I29" s="31" t="n">
        <f aca="false">CORREL(Calculs_Rendements!D563:D641,Calculs_Rendements!D563:D641)</f>
        <v>1</v>
      </c>
      <c r="J29" s="27" t="n">
        <f aca="false">CORREL(Calculs_Rendements!D563:D641,Calculs_Rendements!D643:D721)</f>
        <v>0.0300560544080522</v>
      </c>
      <c r="K29" s="27" t="n">
        <f aca="false">CORREL(Calculs_Rendements!D563:D641,Calculs_Rendements!D723:D801)</f>
        <v>0.0304017708071348</v>
      </c>
    </row>
    <row r="30" customFormat="false" ht="15" hidden="false" customHeight="false" outlineLevel="0" collapsed="false">
      <c r="A30" s="30" t="s">
        <v>51</v>
      </c>
      <c r="B30" s="27" t="n">
        <f aca="false">CORREL(Calculs_Rendements!D643:D721,Calculs_Rendements!D3:D81)</f>
        <v>0.105018820348236</v>
      </c>
      <c r="C30" s="27" t="n">
        <f aca="false">CORREL(Calculs_Rendements!D643:D721,Calculs_Rendements!D83:D161)</f>
        <v>0.196695690956321</v>
      </c>
      <c r="D30" s="27" t="n">
        <f aca="false">CORREL(Calculs_Rendements!D643:D721,Calculs_Rendements!D163:D241)</f>
        <v>-0.0222002040791632</v>
      </c>
      <c r="E30" s="27" t="n">
        <f aca="false">CORREL(Calculs_Rendements!D643:D721,Calculs_Rendements!D243:D321)</f>
        <v>0.252690215184717</v>
      </c>
      <c r="F30" s="27" t="n">
        <f aca="false">CORREL(Calculs_Rendements!D643:D721,Calculs_Rendements!D323:D401)</f>
        <v>0.167858231555608</v>
      </c>
      <c r="G30" s="27" t="n">
        <f aca="false">CORREL(Calculs_Rendements!D643:D721,Calculs_Rendements!D403:D481)</f>
        <v>0.247062729504419</v>
      </c>
      <c r="H30" s="27" t="n">
        <f aca="false">CORREL(Calculs_Rendements!D643:D721,Calculs_Rendements!D483:D561)</f>
        <v>0.245580908597295</v>
      </c>
      <c r="I30" s="27" t="n">
        <f aca="false">CORREL(Calculs_Rendements!D643:D721,Calculs_Rendements!D563:D641)</f>
        <v>0.0300560544080522</v>
      </c>
      <c r="J30" s="31" t="n">
        <f aca="false">CORREL(Calculs_Rendements!D643:D721,Calculs_Rendements!D643:D721)</f>
        <v>1</v>
      </c>
      <c r="K30" s="27" t="n">
        <f aca="false">CORREL(Calculs_Rendements!D643:D721,Calculs_Rendements!D723:D801)</f>
        <v>-0.166003787716798</v>
      </c>
    </row>
    <row r="31" customFormat="false" ht="15" hidden="false" customHeight="false" outlineLevel="0" collapsed="false">
      <c r="A31" s="30" t="s">
        <v>54</v>
      </c>
      <c r="B31" s="27" t="n">
        <f aca="false">CORREL(Calculs_Rendements!D723:D801,Calculs_Rendements!D3:D81)</f>
        <v>-0.0346582154432516</v>
      </c>
      <c r="C31" s="27" t="n">
        <f aca="false">CORREL(Calculs_Rendements!D723:D801,Calculs_Rendements!D83:D161)</f>
        <v>0.0253873529073777</v>
      </c>
      <c r="D31" s="27" t="n">
        <f aca="false">CORREL(Calculs_Rendements!D723:D801,Calculs_Rendements!D163:D241)</f>
        <v>0.0031551496199072</v>
      </c>
      <c r="E31" s="27" t="n">
        <f aca="false">CORREL(Calculs_Rendements!D723:D801,Calculs_Rendements!D243:D321)</f>
        <v>0.116974708222309</v>
      </c>
      <c r="F31" s="27" t="n">
        <f aca="false">CORREL(Calculs_Rendements!D723:D801,Calculs_Rendements!D323:D401)</f>
        <v>-0.119771874122051</v>
      </c>
      <c r="G31" s="27" t="n">
        <f aca="false">CORREL(Calculs_Rendements!D723:D801,Calculs_Rendements!D403:D481)</f>
        <v>-0.0254732140401518</v>
      </c>
      <c r="H31" s="27" t="n">
        <f aca="false">CORREL(Calculs_Rendements!D723:D801,Calculs_Rendements!D483:D561)</f>
        <v>-0.141945846765441</v>
      </c>
      <c r="I31" s="27" t="n">
        <f aca="false">CORREL(Calculs_Rendements!D723:D801,Calculs_Rendements!D563:D641)</f>
        <v>0.0304017708071348</v>
      </c>
      <c r="J31" s="27" t="n">
        <f aca="false">CORREL(Calculs_Rendements!D723:D801,Calculs_Rendements!D643:D721)</f>
        <v>-0.166003787716798</v>
      </c>
      <c r="K31" s="31" t="n">
        <f aca="false">CORREL(Calculs_Rendements!D723:D801,Calculs_Rendements!D723:D801)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22"/>
  </cols>
  <sheetData>
    <row r="1" customFormat="false" ht="26.85" hidden="false" customHeight="false" outlineLevel="0" collapsed="false">
      <c r="A1" s="25" t="s">
        <v>21</v>
      </c>
      <c r="B1" s="25" t="s">
        <v>22</v>
      </c>
      <c r="C1" s="25" t="s">
        <v>23</v>
      </c>
      <c r="D1" s="25" t="s">
        <v>79</v>
      </c>
      <c r="E1" s="25" t="s">
        <v>80</v>
      </c>
      <c r="F1" s="25" t="s">
        <v>81</v>
      </c>
      <c r="G1" s="25" t="s">
        <v>82</v>
      </c>
      <c r="H1" s="25" t="s">
        <v>83</v>
      </c>
      <c r="I1" s="25" t="s">
        <v>84</v>
      </c>
    </row>
    <row r="2" customFormat="false" ht="15" hidden="false" customHeight="false" outlineLevel="0" collapsed="false">
      <c r="A2" s="26" t="str">
        <f aca="false">Positions!A2</f>
        <v>AAPL</v>
      </c>
      <c r="B2" s="26" t="str">
        <f aca="false">Positions!B2</f>
        <v>Apple Inc.</v>
      </c>
      <c r="C2" s="26" t="str">
        <f aca="false">Positions!C2</f>
        <v>Technologie</v>
      </c>
      <c r="D2" s="32" t="n">
        <f aca="false">Positions!H2</f>
        <v>0.151427938897498</v>
      </c>
      <c r="E2" s="8" t="n">
        <f aca="false">INDEX(Indicateurs_Risque!$B$6:$B$15,MATCH(A2,Indicateurs_Risque!$A$6:$A$15,0))</f>
        <v>-0.445381552001456</v>
      </c>
      <c r="F2" s="8" t="n">
        <f aca="false">INDEX(Indicateurs_Risque!$C$6:$C$15,MATCH(A2,Indicateurs_Risque!$A$6:$A$15,0))</f>
        <v>0.269088485841695</v>
      </c>
      <c r="G2" s="27" t="n">
        <f aca="false">INDEX(Indicateurs_Risque!$D$6:$D$15,MATCH(A2,Indicateurs_Risque!$A$6:$A$15,0))</f>
        <v>-1.76663654156174</v>
      </c>
      <c r="H2" s="27" t="n">
        <f aca="false">INDEX(Indicateurs_Risque!$F$6:$F$15,MATCH(A2,Indicateurs_Risque!$A$6:$A$15,0))</f>
        <v>-0.0693990953116242</v>
      </c>
      <c r="I2" s="33" t="n">
        <f aca="false">D2*E2</f>
        <v>-0.0674432104425494</v>
      </c>
    </row>
    <row r="3" customFormat="false" ht="15" hidden="false" customHeight="false" outlineLevel="0" collapsed="false">
      <c r="A3" s="26" t="str">
        <f aca="false">Positions!A3</f>
        <v>MSFT</v>
      </c>
      <c r="B3" s="26" t="str">
        <f aca="false">Positions!B3</f>
        <v>Microsoft Corp.</v>
      </c>
      <c r="C3" s="26" t="str">
        <f aca="false">Positions!C3</f>
        <v>Technologie</v>
      </c>
      <c r="D3" s="32" t="n">
        <f aca="false">Positions!H3</f>
        <v>0.147442993137038</v>
      </c>
      <c r="E3" s="8" t="n">
        <f aca="false">INDEX(Indicateurs_Risque!$B$6:$B$15,MATCH(A3,Indicateurs_Risque!$A$6:$A$15,0))</f>
        <v>0.559406471956232</v>
      </c>
      <c r="F3" s="8" t="n">
        <f aca="false">INDEX(Indicateurs_Risque!$C$6:$C$15,MATCH(A3,Indicateurs_Risque!$A$6:$A$15,0))</f>
        <v>0.27444716542249</v>
      </c>
      <c r="G3" s="27" t="n">
        <f aca="false">INDEX(Indicateurs_Risque!$D$6:$D$15,MATCH(A3,Indicateurs_Risque!$A$6:$A$15,0))</f>
        <v>1.92899231129333</v>
      </c>
      <c r="H3" s="27" t="n">
        <f aca="false">INDEX(Indicateurs_Risque!$F$6:$F$15,MATCH(A3,Indicateurs_Risque!$A$6:$A$15,0))</f>
        <v>0.435551863483902</v>
      </c>
      <c r="I3" s="33" t="n">
        <f aca="false">D3*E3</f>
        <v>0.0824805646054573</v>
      </c>
    </row>
    <row r="4" customFormat="false" ht="15" hidden="false" customHeight="false" outlineLevel="0" collapsed="false">
      <c r="A4" s="26" t="str">
        <f aca="false">Positions!A4</f>
        <v>TTE</v>
      </c>
      <c r="B4" s="26" t="str">
        <f aca="false">Positions!B4</f>
        <v>TotalEnergies</v>
      </c>
      <c r="C4" s="26" t="str">
        <f aca="false">Positions!C4</f>
        <v>Energie</v>
      </c>
      <c r="D4" s="32" t="n">
        <f aca="false">Positions!H4</f>
        <v>0.0796989152092097</v>
      </c>
      <c r="E4" s="8" t="n">
        <f aca="false">INDEX(Indicateurs_Risque!$B$6:$B$15,MATCH(A4,Indicateurs_Risque!$A$6:$A$15,0))</f>
        <v>0.561555857374306</v>
      </c>
      <c r="F4" s="8" t="n">
        <f aca="false">INDEX(Indicateurs_Risque!$C$6:$C$15,MATCH(A4,Indicateurs_Risque!$A$6:$A$15,0))</f>
        <v>0.320943883455991</v>
      </c>
      <c r="G4" s="27" t="n">
        <f aca="false">INDEX(Indicateurs_Risque!$D$6:$D$15,MATCH(A4,Indicateurs_Risque!$A$6:$A$15,0))</f>
        <v>1.65622678846657</v>
      </c>
      <c r="H4" s="27" t="n">
        <f aca="false">INDEX(Indicateurs_Risque!$F$6:$F$15,MATCH(A4,Indicateurs_Risque!$A$6:$A$15,0))</f>
        <v>-0.392441986073111</v>
      </c>
      <c r="I4" s="33" t="n">
        <f aca="false">D4*E4</f>
        <v>0.0447553926621099</v>
      </c>
    </row>
    <row r="5" customFormat="false" ht="15" hidden="false" customHeight="false" outlineLevel="0" collapsed="false">
      <c r="A5" s="26" t="str">
        <f aca="false">Positions!A5</f>
        <v>XOM</v>
      </c>
      <c r="B5" s="26" t="str">
        <f aca="false">Positions!B5</f>
        <v>Exxon Mobil</v>
      </c>
      <c r="C5" s="26" t="str">
        <f aca="false">Positions!C5</f>
        <v>Energie</v>
      </c>
      <c r="D5" s="32" t="n">
        <f aca="false">Positions!H5</f>
        <v>0.0697365508080585</v>
      </c>
      <c r="E5" s="8" t="n">
        <f aca="false">INDEX(Indicateurs_Risque!$B$6:$B$15,MATCH(A5,Indicateurs_Risque!$A$6:$A$15,0))</f>
        <v>-0.366263672351451</v>
      </c>
      <c r="F5" s="8" t="n">
        <f aca="false">INDEX(Indicateurs_Risque!$C$6:$C$15,MATCH(A5,Indicateurs_Risque!$A$6:$A$15,0))</f>
        <v>0.283406908618095</v>
      </c>
      <c r="G5" s="27" t="n">
        <f aca="false">INDEX(Indicateurs_Risque!$D$6:$D$15,MATCH(A5,Indicateurs_Risque!$A$6:$A$15,0))</f>
        <v>-1.39821458228965</v>
      </c>
      <c r="H5" s="27" t="n">
        <f aca="false">INDEX(Indicateurs_Risque!$F$6:$F$15,MATCH(A5,Indicateurs_Risque!$A$6:$A$15,0))</f>
        <v>0.0948110631341473</v>
      </c>
      <c r="I5" s="33" t="n">
        <f aca="false">D5*E5</f>
        <v>-0.025541965196083</v>
      </c>
    </row>
    <row r="6" customFormat="false" ht="15" hidden="false" customHeight="false" outlineLevel="0" collapsed="false">
      <c r="A6" s="26" t="str">
        <f aca="false">Positions!A6</f>
        <v>SAN</v>
      </c>
      <c r="B6" s="26" t="str">
        <f aca="false">Positions!B6</f>
        <v>Sanofi</v>
      </c>
      <c r="C6" s="26" t="str">
        <f aca="false">Positions!C6</f>
        <v>Sante</v>
      </c>
      <c r="D6" s="32" t="n">
        <f aca="false">Positions!H6</f>
        <v>0.0796989152092097</v>
      </c>
      <c r="E6" s="8" t="n">
        <f aca="false">INDEX(Indicateurs_Risque!$B$6:$B$15,MATCH(A6,Indicateurs_Risque!$A$6:$A$15,0))</f>
        <v>-0.397097357150975</v>
      </c>
      <c r="F6" s="8" t="n">
        <f aca="false">INDEX(Indicateurs_Risque!$C$6:$C$15,MATCH(A6,Indicateurs_Risque!$A$6:$A$15,0))</f>
        <v>0.17986677481829</v>
      </c>
      <c r="G6" s="27" t="n">
        <f aca="false">INDEX(Indicateurs_Risque!$D$6:$D$15,MATCH(A6,Indicateurs_Risque!$A$6:$A$15,0))</f>
        <v>-2.37452057269859</v>
      </c>
      <c r="H6" s="27" t="n">
        <f aca="false">INDEX(Indicateurs_Risque!$F$6:$F$15,MATCH(A6,Indicateurs_Risque!$A$6:$A$15,0))</f>
        <v>-0.0103181056125358</v>
      </c>
      <c r="I6" s="33" t="n">
        <f aca="false">D6*E6</f>
        <v>-0.0316482285973768</v>
      </c>
    </row>
    <row r="7" customFormat="false" ht="15" hidden="false" customHeight="false" outlineLevel="0" collapsed="false">
      <c r="A7" s="26" t="str">
        <f aca="false">Positions!A7</f>
        <v>JNJ</v>
      </c>
      <c r="B7" s="26" t="str">
        <f aca="false">Positions!B7</f>
        <v>Johnson &amp; Johnson</v>
      </c>
      <c r="C7" s="26" t="str">
        <f aca="false">Positions!C7</f>
        <v>Sante</v>
      </c>
      <c r="D7" s="32" t="n">
        <f aca="false">Positions!H7</f>
        <v>0.0686296214301528</v>
      </c>
      <c r="E7" s="8" t="n">
        <f aca="false">INDEX(Indicateurs_Risque!$B$6:$B$15,MATCH(A7,Indicateurs_Risque!$A$6:$A$15,0))</f>
        <v>0.346283068371819</v>
      </c>
      <c r="F7" s="8" t="n">
        <f aca="false">INDEX(Indicateurs_Risque!$C$6:$C$15,MATCH(A7,Indicateurs_Risque!$A$6:$A$15,0))</f>
        <v>0.162283447773301</v>
      </c>
      <c r="G7" s="27" t="n">
        <f aca="false">INDEX(Indicateurs_Risque!$D$6:$D$15,MATCH(A7,Indicateurs_Risque!$A$6:$A$15,0))</f>
        <v>1.94895457738639</v>
      </c>
      <c r="H7" s="27" t="n">
        <f aca="false">INDEX(Indicateurs_Risque!$F$6:$F$15,MATCH(A7,Indicateurs_Risque!$A$6:$A$15,0))</f>
        <v>0.0115968239656487</v>
      </c>
      <c r="I7" s="33" t="n">
        <f aca="false">D7*E7</f>
        <v>0.0237652758900297</v>
      </c>
    </row>
    <row r="8" customFormat="false" ht="15" hidden="false" customHeight="false" outlineLevel="0" collapsed="false">
      <c r="A8" s="26" t="str">
        <f aca="false">Positions!A8</f>
        <v>BNP</v>
      </c>
      <c r="B8" s="26" t="str">
        <f aca="false">Positions!B8</f>
        <v>BNP Paribas</v>
      </c>
      <c r="C8" s="26" t="str">
        <f aca="false">Positions!C8</f>
        <v>Finance</v>
      </c>
      <c r="D8" s="32" t="n">
        <f aca="false">Positions!H8</f>
        <v>0.0796989152092097</v>
      </c>
      <c r="E8" s="8" t="n">
        <f aca="false">INDEX(Indicateurs_Risque!$B$6:$B$15,MATCH(A8,Indicateurs_Risque!$A$6:$A$15,0))</f>
        <v>0.420187257068839</v>
      </c>
      <c r="F8" s="8" t="n">
        <f aca="false">INDEX(Indicateurs_Risque!$C$6:$C$15,MATCH(A8,Indicateurs_Risque!$A$6:$A$15,0))</f>
        <v>0.234861621315261</v>
      </c>
      <c r="G8" s="27" t="n">
        <f aca="false">INDEX(Indicateurs_Risque!$D$6:$D$15,MATCH(A8,Indicateurs_Risque!$A$6:$A$15,0))</f>
        <v>1.66134958484801</v>
      </c>
      <c r="H8" s="27" t="n">
        <f aca="false">INDEX(Indicateurs_Risque!$F$6:$F$15,MATCH(A8,Indicateurs_Risque!$A$6:$A$15,0))</f>
        <v>0.0165443469813373</v>
      </c>
      <c r="I8" s="33" t="n">
        <f aca="false">D8*E8</f>
        <v>0.0334884685731198</v>
      </c>
    </row>
    <row r="9" customFormat="false" ht="15" hidden="false" customHeight="false" outlineLevel="0" collapsed="false">
      <c r="A9" s="26" t="str">
        <f aca="false">Positions!A9</f>
        <v>JPM</v>
      </c>
      <c r="B9" s="26" t="str">
        <f aca="false">Positions!B9</f>
        <v>JPMorgan Chase</v>
      </c>
      <c r="C9" s="26" t="str">
        <f aca="false">Positions!C9</f>
        <v>Finance</v>
      </c>
      <c r="D9" s="32" t="n">
        <f aca="false">Positions!H9</f>
        <v>0.069072393181315</v>
      </c>
      <c r="E9" s="8" t="n">
        <f aca="false">INDEX(Indicateurs_Risque!$B$6:$B$15,MATCH(A9,Indicateurs_Risque!$A$6:$A$15,0))</f>
        <v>0.602025116253149</v>
      </c>
      <c r="F9" s="8" t="n">
        <f aca="false">INDEX(Indicateurs_Risque!$C$6:$C$15,MATCH(A9,Indicateurs_Risque!$A$6:$A$15,0))</f>
        <v>0.235799152929686</v>
      </c>
      <c r="G9" s="27" t="n">
        <f aca="false">INDEX(Indicateurs_Risque!$D$6:$D$15,MATCH(A9,Indicateurs_Risque!$A$6:$A$15,0))</f>
        <v>2.42589979287891</v>
      </c>
      <c r="H9" s="27" t="n">
        <f aca="false">INDEX(Indicateurs_Risque!$F$6:$F$15,MATCH(A9,Indicateurs_Risque!$A$6:$A$15,0))</f>
        <v>-0.0414120297575373</v>
      </c>
      <c r="I9" s="33" t="n">
        <f aca="false">D9*E9</f>
        <v>0.0415833155348644</v>
      </c>
    </row>
    <row r="10" customFormat="false" ht="15" hidden="false" customHeight="false" outlineLevel="0" collapsed="false">
      <c r="A10" s="26" t="str">
        <f aca="false">Positions!A10</f>
        <v>MC</v>
      </c>
      <c r="B10" s="26" t="str">
        <f aca="false">Positions!B10</f>
        <v>LVMH</v>
      </c>
      <c r="C10" s="26" t="str">
        <f aca="false">Positions!C10</f>
        <v>Consommation</v>
      </c>
      <c r="D10" s="32" t="n">
        <f aca="false">Positions!H10</f>
        <v>0.154970112906797</v>
      </c>
      <c r="E10" s="8" t="n">
        <f aca="false">INDEX(Indicateurs_Risque!$B$6:$B$15,MATCH(A10,Indicateurs_Risque!$A$6:$A$15,0))</f>
        <v>0.561741800727002</v>
      </c>
      <c r="F10" s="8" t="n">
        <f aca="false">INDEX(Indicateurs_Risque!$C$6:$C$15,MATCH(A10,Indicateurs_Risque!$A$6:$A$15,0))</f>
        <v>0.256921043858372</v>
      </c>
      <c r="G10" s="27" t="n">
        <f aca="false">INDEX(Indicateurs_Risque!$D$6:$D$15,MATCH(A10,Indicateurs_Risque!$A$6:$A$15,0))</f>
        <v>2.06967009296492</v>
      </c>
      <c r="H10" s="27" t="n">
        <f aca="false">INDEX(Indicateurs_Risque!$F$6:$F$15,MATCH(A10,Indicateurs_Risque!$A$6:$A$15,0))</f>
        <v>0.12624933200039</v>
      </c>
      <c r="I10" s="33" t="n">
        <f aca="false">D10*E10</f>
        <v>0.0870531902831306</v>
      </c>
    </row>
    <row r="11" customFormat="false" ht="15" hidden="false" customHeight="false" outlineLevel="0" collapsed="false">
      <c r="A11" s="26" t="str">
        <f aca="false">Positions!A11</f>
        <v>KO</v>
      </c>
      <c r="B11" s="26" t="str">
        <f aca="false">Positions!B11</f>
        <v>Coca-Cola</v>
      </c>
      <c r="C11" s="26" t="str">
        <f aca="false">Positions!C11</f>
        <v>Consommation</v>
      </c>
      <c r="D11" s="32" t="n">
        <f aca="false">Positions!H11</f>
        <v>0.0996236440115121</v>
      </c>
      <c r="E11" s="8" t="n">
        <f aca="false">INDEX(Indicateurs_Risque!$B$6:$B$15,MATCH(A11,Indicateurs_Risque!$A$6:$A$15,0))</f>
        <v>0.30789673049927</v>
      </c>
      <c r="F11" s="8" t="n">
        <f aca="false">INDEX(Indicateurs_Risque!$C$6:$C$15,MATCH(A11,Indicateurs_Risque!$A$6:$A$15,0))</f>
        <v>0.138713521921654</v>
      </c>
      <c r="G11" s="27" t="n">
        <f aca="false">INDEX(Indicateurs_Risque!$D$6:$D$15,MATCH(A11,Indicateurs_Risque!$A$6:$A$15,0))</f>
        <v>2.0033860192536</v>
      </c>
      <c r="H11" s="27" t="n">
        <f aca="false">INDEX(Indicateurs_Risque!$F$6:$F$15,MATCH(A11,Indicateurs_Risque!$A$6:$A$15,0))</f>
        <v>0.133191000452354</v>
      </c>
      <c r="I11" s="33" t="n">
        <f aca="false">D11*E11</f>
        <v>0.0306737942715678</v>
      </c>
    </row>
    <row r="12" customFormat="false" ht="15" hidden="false" customHeight="false" outlineLevel="0" collapsed="false">
      <c r="B12" s="4" t="s">
        <v>85</v>
      </c>
      <c r="D12" s="10" t="n">
        <f aca="false">SUM(D2:D11)</f>
        <v>1</v>
      </c>
      <c r="E12" s="10" t="n">
        <f aca="false">SUMPRODUCT(D2:D11,E2:E11)</f>
        <v>0.21916659758427</v>
      </c>
      <c r="F12" s="10" t="n">
        <f aca="false">SUMPRODUCT(D2:D11,F2:F11)</f>
        <v>0.240667822325309</v>
      </c>
      <c r="G12" s="34" t="n">
        <f aca="false">(E12-Indicateurs_Risque!$B$2)/F12</f>
        <v>0.786007018954842</v>
      </c>
      <c r="H12" s="34" t="n">
        <f aca="false">SUMPRODUCT(D2:D11,H2:H11)</f>
        <v>0.0603102327716769</v>
      </c>
      <c r="I12" s="35" t="n">
        <f aca="false">SUM(I2:I11)</f>
        <v>0.21916659758427</v>
      </c>
    </row>
    <row r="13" customFormat="false" ht="15" hidden="false" customHeight="false" outlineLevel="0" collapsed="false">
      <c r="A13" s="11" t="s">
        <v>86</v>
      </c>
    </row>
    <row r="15" customFormat="false" ht="15" hidden="false" customHeight="false" outlineLevel="0" collapsed="false">
      <c r="A15" s="4" t="s">
        <v>87</v>
      </c>
    </row>
    <row r="16" customFormat="false" ht="15" hidden="false" customHeight="false" outlineLevel="0" collapsed="false">
      <c r="A16" s="30" t="s">
        <v>88</v>
      </c>
      <c r="B16" s="30" t="s">
        <v>89</v>
      </c>
      <c r="C16" s="30" t="s">
        <v>90</v>
      </c>
    </row>
    <row r="17" customFormat="false" ht="15" hidden="false" customHeight="false" outlineLevel="0" collapsed="false">
      <c r="A17" s="36" t="s">
        <v>91</v>
      </c>
      <c r="B17" s="8" t="n">
        <f aca="false">E12</f>
        <v>0.21916659758427</v>
      </c>
      <c r="C17" s="32" t="n">
        <f aca="false">Indicateurs_Risque!B16</f>
        <v>0.0226595798971685</v>
      </c>
    </row>
    <row r="18" customFormat="false" ht="15" hidden="false" customHeight="false" outlineLevel="0" collapsed="false">
      <c r="A18" s="36" t="s">
        <v>92</v>
      </c>
      <c r="B18" s="8" t="n">
        <f aca="false">F12</f>
        <v>0.240667822325309</v>
      </c>
      <c r="C18" s="32" t="n">
        <f aca="false">Indicateurs_Risque!C16</f>
        <v>0.159656336346631</v>
      </c>
    </row>
    <row r="19" customFormat="false" ht="15" hidden="false" customHeight="false" outlineLevel="0" collapsed="false">
      <c r="A19" s="36" t="s">
        <v>93</v>
      </c>
      <c r="B19" s="27" t="n">
        <f aca="false">G12</f>
        <v>0.786007018954842</v>
      </c>
      <c r="C19" s="37" t="n">
        <f aca="false">Indicateurs_Risque!D16</f>
        <v>-0.0459763782058401</v>
      </c>
    </row>
    <row r="22" customFormat="false" ht="15" hidden="false" customHeight="false" outlineLevel="0" collapsed="false">
      <c r="A22" s="4" t="s">
        <v>94</v>
      </c>
    </row>
    <row r="23" customFormat="false" ht="15" hidden="false" customHeight="false" outlineLevel="0" collapsed="false">
      <c r="A23" s="30" t="s">
        <v>23</v>
      </c>
      <c r="B23" s="30" t="s">
        <v>79</v>
      </c>
    </row>
    <row r="24" customFormat="false" ht="15" hidden="false" customHeight="false" outlineLevel="0" collapsed="false">
      <c r="A24" s="36" t="s">
        <v>31</v>
      </c>
      <c r="B24" s="8" t="n">
        <f aca="false">SUMIF($C$2:$C$11,A24,$D$2:$D$11)</f>
        <v>0.298870932034536</v>
      </c>
    </row>
    <row r="25" customFormat="false" ht="15" hidden="false" customHeight="false" outlineLevel="0" collapsed="false">
      <c r="A25" s="36" t="s">
        <v>37</v>
      </c>
      <c r="B25" s="8" t="n">
        <f aca="false">SUMIF($C$2:$C$11,A25,$D$2:$D$11)</f>
        <v>0.149435466017268</v>
      </c>
    </row>
    <row r="26" customFormat="false" ht="15" hidden="false" customHeight="false" outlineLevel="0" collapsed="false">
      <c r="A26" s="36" t="s">
        <v>43</v>
      </c>
      <c r="B26" s="8" t="n">
        <f aca="false">SUMIF($C$2:$C$11,A26,$D$2:$D$11)</f>
        <v>0.148328536639362</v>
      </c>
    </row>
    <row r="27" customFormat="false" ht="15" hidden="false" customHeight="false" outlineLevel="0" collapsed="false">
      <c r="A27" s="36" t="s">
        <v>48</v>
      </c>
      <c r="B27" s="8" t="n">
        <f aca="false">SUMIF($C$2:$C$11,A27,$D$2:$D$11)</f>
        <v>0.148771308390525</v>
      </c>
    </row>
    <row r="28" customFormat="false" ht="15" hidden="false" customHeight="false" outlineLevel="0" collapsed="false">
      <c r="A28" s="36" t="s">
        <v>53</v>
      </c>
      <c r="B28" s="8" t="n">
        <f aca="false">SUMIF($C$2:$C$11,A28,$D$2:$D$11)</f>
        <v>0.254593756918309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95</v>
      </c>
    </row>
    <row r="2" customFormat="false" ht="15" hidden="false" customHeight="false" outlineLevel="0" collapsed="false">
      <c r="A2" s="2" t="s">
        <v>96</v>
      </c>
    </row>
    <row r="4" customFormat="false" ht="15" hidden="false" customHeight="false" outlineLevel="0" collapsed="false">
      <c r="A4" s="4" t="s">
        <v>97</v>
      </c>
    </row>
    <row r="5" customFormat="false" ht="30" hidden="false" customHeight="true" outlineLevel="0" collapsed="false">
      <c r="A5" s="38" t="str">
        <f aca="false">"Le secteur "&amp;INDEX(Synthese_Portefeuille!A24:A28,MATCH(MAX(Synthese_Portefeuille!B24:B28),Synthese_Portefeuille!B24:B28,0))&amp;" represente "&amp;TEXT(MAX(Synthese_Portefeuille!B24:B28),"0.0%")&amp;" du portefeuille, ce qui constitue la plus forte concentration sectorielle. Une correction sur ce secteur aurait un impact disproportionne sur la valeur totale."</f>
        <v>Le secteur Technologie represente 29.9% du portefeuille, ce qui constitue la plus forte concentration sectorielle. Une correction sur ce secteur aurait un impact disproportionne sur la valeur totale.</v>
      </c>
    </row>
    <row r="7" customFormat="false" ht="15" hidden="false" customHeight="false" outlineLevel="0" collapsed="false">
      <c r="A7" s="4" t="s">
        <v>98</v>
      </c>
    </row>
    <row r="8" customFormat="false" ht="30" hidden="false" customHeight="true" outlineLevel="0" collapsed="false">
      <c r="A8" s="38" t="str">
        <f aca="false">"La position la moins efficiente en risque/rendement est "&amp;INDEX(Synthese_Portefeuille!B2:B11,MATCH(MIN(Synthese_Portefeuille!G2:G11),Synthese_Portefeuille!G2:G11,0))&amp;", avec un ratio de Sharpe de "&amp;TEXT(MIN(Synthese_Portefeuille!G2:G11),"0.00")&amp;". Elle prend un niveau de risque qui n'est pas pleinement remunere par le rendement obtenu — une reduction ou un arbitrage vers une position plus efficiente peut etre envisage."</f>
        <v>La position la moins efficiente en risque/rendement est Sanofi, avec un ratio de Sharpe de -2.37. Elle prend un niveau de risque qui n'est pas pleinement remunere par le rendement obtenu — une reduction ou un arbitrage vers une position plus efficiente peut etre envisage.</v>
      </c>
    </row>
    <row r="10" customFormat="false" ht="15" hidden="false" customHeight="false" outlineLevel="0" collapsed="false">
      <c r="A10" s="4" t="s">
        <v>99</v>
      </c>
    </row>
    <row r="11" customFormat="false" ht="30" hidden="false" customHeight="true" outlineLevel="0" collapsed="false">
      <c r="A11" s="38" t="str">
        <f aca="false">IF(Synthese_Portefeuille!B17&gt;Synthese_Portefeuille!C17,"Le portefeuille surperforme le CAC 40 de "&amp;TEXT(Synthese_Portefeuille!B17-Synthese_Portefeuille!C17,"0.0%")&amp;" en rendement annualise sur la periode observee.","Le portefeuille sous-performe le CAC 40 de "&amp;TEXT(Synthese_Portefeuille!C17-Synthese_Portefeuille!B17,"0.0%")&amp;" en rendement annualise sur la periode observee. Une partie de l'ecart peut provenir de la concentration sectorielle identifiee au point 1.")</f>
        <v>Le portefeuille surperforme le CAC 40 de 19.7% en rendement annualise sur la periode observee.</v>
      </c>
    </row>
    <row r="13" customFormat="false" ht="15" hidden="false" customHeight="false" outlineLevel="0" collapsed="false">
      <c r="A13" s="4" t="s">
        <v>100</v>
      </c>
    </row>
    <row r="14" customFormat="false" ht="45" hidden="false" customHeight="true" outlineLevel="0" collapsed="false">
      <c r="A14" s="39" t="s">
        <v>101</v>
      </c>
    </row>
    <row r="16" customFormat="false" ht="15" hidden="false" customHeight="false" outlineLevel="0" collapsed="false">
      <c r="A16" s="4" t="s">
        <v>102</v>
      </c>
    </row>
    <row r="17" customFormat="false" ht="79.5" hidden="false" customHeight="true" outlineLevel="0" collapsed="false">
      <c r="A17" s="40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2026-07-21T15:40:40Z</dcterms:created>
  <dc:creator>openpyxl</dc:creator>
  <dc:description/>
  <dc:language>en-US</dc:language>
  <cp:lastModifiedBy/>
  <dcterms:modified xsi:type="dcterms:W3CDTF">2026-07-21T15:42:24Z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